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6" windowWidth="13032" windowHeight="5856"/>
  </bookViews>
  <sheets>
    <sheet name="Asientos" sheetId="1" r:id="rId1"/>
    <sheet name="Diario" sheetId="10" r:id="rId2"/>
    <sheet name="Mayor" sheetId="2" r:id="rId3"/>
    <sheet name="BG" sheetId="3" r:id="rId4"/>
    <sheet name="ER" sheetId="4" r:id="rId5"/>
    <sheet name="EEPN" sheetId="5" r:id="rId6"/>
    <sheet name="EFC" sheetId="6" r:id="rId7"/>
    <sheet name="PDC" sheetId="7" r:id="rId8"/>
    <sheet name="Empresa" sheetId="8" r:id="rId9"/>
    <sheet name="BienesUso" sheetId="11" r:id="rId10"/>
    <sheet name="Datos" sheetId="9" r:id="rId11"/>
  </sheets>
  <functionGroups/>
  <definedNames>
    <definedName name="Binario" comment="Parametriza un valor en Sí o No.">Datos!$B$2:$B$3</definedName>
    <definedName name="Clasificacion" comment="Se clasifica qué tipo de cuenta es.">Tabla5[RUBRO]</definedName>
    <definedName name="Codigo" comment="Código de la cuenta">Tabla4[Código]</definedName>
    <definedName name="Comprobantes" comment="Tipo de comprobante A, B, C, etc...">Tabla5[TIPO]</definedName>
    <definedName name="Cuenta" comment="El nombre y detalle de la cuenta">Tabla4[Descripción]</definedName>
    <definedName name="DocumentoFiscal" comment="Factura, n crédito, débito, etc...">Tabla5[COMPROBANTE]</definedName>
  </definedNames>
  <calcPr calcId="125725"/>
</workbook>
</file>

<file path=xl/calcChain.xml><?xml version="1.0" encoding="utf-8"?>
<calcChain xmlns="http://schemas.openxmlformats.org/spreadsheetml/2006/main">
  <c r="D41" i="10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G3" i="1"/>
  <c r="D16" i="10"/>
  <c r="D15"/>
  <c r="D14"/>
  <c r="D13"/>
  <c r="D12"/>
  <c r="D11"/>
  <c r="D10"/>
  <c r="D9"/>
  <c r="D8"/>
  <c r="D7"/>
  <c r="D6"/>
  <c r="D5"/>
  <c r="D4"/>
  <c r="D3"/>
  <c r="D2"/>
  <c r="C20" i="1" l="1"/>
  <c r="G20" l="1"/>
  <c r="D20" s="1"/>
</calcChain>
</file>

<file path=xl/sharedStrings.xml><?xml version="1.0" encoding="utf-8"?>
<sst xmlns="http://schemas.openxmlformats.org/spreadsheetml/2006/main" count="444" uniqueCount="218">
  <si>
    <t>Código</t>
  </si>
  <si>
    <t>Descripción</t>
  </si>
  <si>
    <t>Clasificación</t>
  </si>
  <si>
    <t>ACTIVO</t>
  </si>
  <si>
    <t>Activo</t>
  </si>
  <si>
    <t>CAJA Y BANCOS</t>
  </si>
  <si>
    <t>INVERSIONES</t>
  </si>
  <si>
    <t>PASIVO</t>
  </si>
  <si>
    <t>Pasivo</t>
  </si>
  <si>
    <t>OTRAS DEUDAS</t>
  </si>
  <si>
    <t>PATRIMONIO NETO</t>
  </si>
  <si>
    <t>Patrimonio Neto</t>
  </si>
  <si>
    <t>RESULTADOS ACUMULADOS</t>
  </si>
  <si>
    <t>INGRESOS</t>
  </si>
  <si>
    <t>EGRESOS</t>
  </si>
  <si>
    <t>Fecha</t>
  </si>
  <si>
    <t>Debe</t>
  </si>
  <si>
    <t>Haber</t>
  </si>
  <si>
    <t>TIPO</t>
  </si>
  <si>
    <t>Si</t>
  </si>
  <si>
    <t>No</t>
  </si>
  <si>
    <t>Imputable</t>
  </si>
  <si>
    <t>Asiento Automático</t>
  </si>
  <si>
    <t>ACTIVO CORRIENTE</t>
  </si>
  <si>
    <t>Número</t>
  </si>
  <si>
    <t>DEBE</t>
  </si>
  <si>
    <t>a</t>
  </si>
  <si>
    <t>HABER</t>
  </si>
  <si>
    <t>Nº ASIENTO</t>
  </si>
  <si>
    <t>CODIGO</t>
  </si>
  <si>
    <t>CUENTA</t>
  </si>
  <si>
    <t xml:space="preserve">CODIGO </t>
  </si>
  <si>
    <t xml:space="preserve">CUENTA </t>
  </si>
  <si>
    <t>FECHA</t>
  </si>
  <si>
    <t>LEYENDA</t>
  </si>
  <si>
    <t>Centro de Costos</t>
  </si>
  <si>
    <t>Caja $</t>
  </si>
  <si>
    <t>Caja U$S</t>
  </si>
  <si>
    <t>Valores a Depositar</t>
  </si>
  <si>
    <t>DEUDORES POR VENTAS</t>
  </si>
  <si>
    <t>Cliente 1</t>
  </si>
  <si>
    <t>Cliente 2</t>
  </si>
  <si>
    <t>Cliente 3</t>
  </si>
  <si>
    <t>Deudores Morosos</t>
  </si>
  <si>
    <t>Deudores en Gestión Judicial</t>
  </si>
  <si>
    <t>Documentos a Cobrar</t>
  </si>
  <si>
    <t>Previsiones Deudores Incobrables</t>
  </si>
  <si>
    <t>Plazo Fijo</t>
  </si>
  <si>
    <t>Int. PF (+) a Devengar</t>
  </si>
  <si>
    <t>Prestamos a Cobrar</t>
  </si>
  <si>
    <t>Int. Prestamos (+) a Devengar</t>
  </si>
  <si>
    <t>Acciones</t>
  </si>
  <si>
    <t>Otros</t>
  </si>
  <si>
    <t>OTROS CREDITOS</t>
  </si>
  <si>
    <t>IVA CF</t>
  </si>
  <si>
    <t>IVA Saldo a Favor</t>
  </si>
  <si>
    <t>IVA Retenciones a Favor</t>
  </si>
  <si>
    <t>Alquileres Pag x Adelantado</t>
  </si>
  <si>
    <t>Seguros Pag x Adelantado</t>
  </si>
  <si>
    <t>Anticipos al Personal</t>
  </si>
  <si>
    <t>Adelanto de Vacaciones</t>
  </si>
  <si>
    <t>Anticipo a Proveedores</t>
  </si>
  <si>
    <t>Anticipo Imp. Ganancias</t>
  </si>
  <si>
    <t>Anticipo Honorarios</t>
  </si>
  <si>
    <t>Cuenta Particular</t>
  </si>
  <si>
    <t>BIENES DE CAMBIO</t>
  </si>
  <si>
    <t>Mercadería 1</t>
  </si>
  <si>
    <t>Mercadería 2</t>
  </si>
  <si>
    <t>Materias Primas</t>
  </si>
  <si>
    <t>ACTIVO NO CORRIENTE</t>
  </si>
  <si>
    <t>BIENES DE USO</t>
  </si>
  <si>
    <t>Rodados</t>
  </si>
  <si>
    <t>Equipos de Computación</t>
  </si>
  <si>
    <t>Muebles y Útiles</t>
  </si>
  <si>
    <t>Instalaciones</t>
  </si>
  <si>
    <t>Inmuebles</t>
  </si>
  <si>
    <t>PASIVO CORRIENTE</t>
  </si>
  <si>
    <t>DEUDAS COMERCIALES</t>
  </si>
  <si>
    <t>Proveedor 1</t>
  </si>
  <si>
    <t>Proveedor 2</t>
  </si>
  <si>
    <t>Acreedores Varios</t>
  </si>
  <si>
    <t>Obligaciones a Pagar</t>
  </si>
  <si>
    <t>DEUDAS FINANCIERAS</t>
  </si>
  <si>
    <t>Prestamos Bancarios</t>
  </si>
  <si>
    <t>Int. (-) a Devengar</t>
  </si>
  <si>
    <t>DEUDAS FISCALES</t>
  </si>
  <si>
    <t>IVA DF</t>
  </si>
  <si>
    <t>IVA a pagar</t>
  </si>
  <si>
    <t>IVA Retenciones a depositar</t>
  </si>
  <si>
    <t>Ingresos Brutos a pagar</t>
  </si>
  <si>
    <t>Moratoria AFIP</t>
  </si>
  <si>
    <t>Provisión Imp. a las Ganancias</t>
  </si>
  <si>
    <t>DEUDAS SOCIALES</t>
  </si>
  <si>
    <t>Sueldos a Pagar</t>
  </si>
  <si>
    <t>Cargas Sociales a Pagar</t>
  </si>
  <si>
    <t>Sindicato a Pagar</t>
  </si>
  <si>
    <t>Seguro de Vida a Pagar</t>
  </si>
  <si>
    <t>SAC a Pagar</t>
  </si>
  <si>
    <t>Vacaciones a Pagar</t>
  </si>
  <si>
    <t>Provisión SAC y Vacaciones</t>
  </si>
  <si>
    <t>Honorarios a Pagar</t>
  </si>
  <si>
    <t>Dividendos en Efectivo a Pagar</t>
  </si>
  <si>
    <t>Anticipo de Clientes</t>
  </si>
  <si>
    <t>APORTES DE PROPIETARIOS</t>
  </si>
  <si>
    <t>Capital</t>
  </si>
  <si>
    <t>Aportes Irrevocables</t>
  </si>
  <si>
    <t>Reserva Legal</t>
  </si>
  <si>
    <t>Resultados No Asignados</t>
  </si>
  <si>
    <t>Resultado Del Ejercicio</t>
  </si>
  <si>
    <t>A.R.E.A.</t>
  </si>
  <si>
    <t>RESULTADOS</t>
  </si>
  <si>
    <t>Ventas</t>
  </si>
  <si>
    <t>Intereses Positivos</t>
  </si>
  <si>
    <t>Descuentos Obtenidos</t>
  </si>
  <si>
    <t>Costo de Mercaderías Vendidas</t>
  </si>
  <si>
    <t>Alquileres</t>
  </si>
  <si>
    <t>Seguros</t>
  </si>
  <si>
    <t>Sueldos</t>
  </si>
  <si>
    <t>Contribuciones</t>
  </si>
  <si>
    <t>Honorarios</t>
  </si>
  <si>
    <t>Resultado Venta Bienes de Uso</t>
  </si>
  <si>
    <t>Siniestro</t>
  </si>
  <si>
    <t>Marca de fábricaACTIVOdeudorACTIVOS INTANGIBLES</t>
  </si>
  <si>
    <t>ConcesionesACTIVOdeudorACTIVOS INTANGIBLES</t>
  </si>
  <si>
    <t>Derecho de autor y de ediciónACTIVOdeudorACTIVOS INTANGIBLES</t>
  </si>
  <si>
    <t>Gastos de organizaciónACTIVOdeudorACTIVOS INTANGIBLES</t>
  </si>
  <si>
    <t>Gastos de publicidadACTIVOdeudorACTIVOS INTANGIBLES</t>
  </si>
  <si>
    <t>Valor llaveACTIVOdeudorACTIVOS INTANGIBLES</t>
  </si>
  <si>
    <t>ProveedoresPASIVOacreedorDEUDAS COMERCIALES</t>
  </si>
  <si>
    <t>Cheques de pago dif a pagarPASIVOacreedorDEUDAS COMERCIALES</t>
  </si>
  <si>
    <t>Documentos a pagarPASIVOacreedorDEUDAS COMERCIALES</t>
  </si>
  <si>
    <t>Intereses a pagarPASIVOacreedorDEUDAS COMERCIALES</t>
  </si>
  <si>
    <t>Adelanto en cta ctePASIVOacreedorPRÉSTAMOS</t>
  </si>
  <si>
    <t>Documentos bancarios a pagarPASIVOacreedorPRÉSTAMOS</t>
  </si>
  <si>
    <t>Obligaciones a pagar bancariasPASIVOacreedorPRÉSTAMOS</t>
  </si>
  <si>
    <t>IVA débito fiscalPASIVOacreedorDEUDAS IMPOSITIVAS</t>
  </si>
  <si>
    <t>IVA saldo a pagarPASIVOacreedorDEUDAS IMPOSITIVAS</t>
  </si>
  <si>
    <t>Impuesto a las ganancias a pagarPASIVOacreedorDEUDAS IMPOSITIVAS</t>
  </si>
  <si>
    <t>Saldo DDJJ IVA a pagarPASIVOacreedorDEUDAS IMPOSITIVAS</t>
  </si>
  <si>
    <t>Impuesto s/IIBB a pagarPASIVOacreedorDEUDAS IMPOSITIVAS</t>
  </si>
  <si>
    <t>Retenciones practicadasPASIVOacreedorDEUDAS IMPOSITIVAS</t>
  </si>
  <si>
    <t>Percepciones practicadasPASIVOacreedorDEUDAS IMPOSITIVAS</t>
  </si>
  <si>
    <t>Remuneraciones/sueldos a pagarPASIVOacreedorDEUDAS SOCIALES</t>
  </si>
  <si>
    <t>Cargas sociales a pagarPASIVOacreedorDEUDAS SOCIALES</t>
  </si>
  <si>
    <t>Alquileres a pagarPASIVOacreedorOTROS PASIVOS</t>
  </si>
  <si>
    <t>Alquileres cobrados por adelantadoPASIVOacreedorOTROS PASIVOS</t>
  </si>
  <si>
    <t>Seguro a pagarPASIVOacreedorOTROS PASIVOS</t>
  </si>
  <si>
    <t>Honorarios a pagarPASIVOacreedorOTROS PASIVOS</t>
  </si>
  <si>
    <t>Previsiones por contingencias variasPASIVOacreedorPREVISIONES</t>
  </si>
  <si>
    <t>Previsión por juicios/despidosPASIVOacreedorPREVISIONES</t>
  </si>
  <si>
    <t>CapitalPATRIMONIO NETOacreedorAP. DE LOS PROPIETARIOS</t>
  </si>
  <si>
    <t>Ajustes del capitalPATRIMONIO NETOacreedorAP. DE LOS PROPIETARIOS</t>
  </si>
  <si>
    <t>pérdidas</t>
  </si>
  <si>
    <t>PATRIMONIO NETOacreedorAP. DE LOS PROPIETARIOS</t>
  </si>
  <si>
    <t>suscripciones de acciones</t>
  </si>
  <si>
    <t>Primas de emisiónPATRIMONIO NETOacreedorAP. DE LOS PROPIETARIOS</t>
  </si>
  <si>
    <t>Resultados acumuladosPATRIMONIO NETOacreedorRESULTADOS ACUMULADOS</t>
  </si>
  <si>
    <t>Revalúo técnicoPATRIMONIO NETOacreedorRESULTADOS ACUMULADOS</t>
  </si>
  <si>
    <t>Reserva legal/estatutaria/facultativaPATRIMONIO NETOacreedorRESULTADOS ACUMULADOS</t>
  </si>
  <si>
    <t>AREAPATRIMONIO NETOacreedorRESULTADOS ACUMULADOS</t>
  </si>
  <si>
    <t>VentasRE (POSITIVO)deudor</t>
  </si>
  <si>
    <t>-</t>
  </si>
  <si>
    <t>Recupero de previsiónRE (POSITIVO)deudor</t>
  </si>
  <si>
    <t>Intereses ganadosRE (POSITIVO)deudor</t>
  </si>
  <si>
    <t>Costo de ventasRE (NEGATIVO)acreedor</t>
  </si>
  <si>
    <t>Intereses perdidosRE (NEGATIVO)acreedor</t>
  </si>
  <si>
    <t>Seguros pagadosRE (NEGATIVO)acreedor</t>
  </si>
  <si>
    <t>Alquileres pagadosRE (NEGATIVO)acreedor</t>
  </si>
  <si>
    <t>Impuesto a las gananciasRE (NEGATIVO)acreedor</t>
  </si>
  <si>
    <t>Quebranto por previsiónRE (NEGATIVO)acreedor</t>
  </si>
  <si>
    <t>Deudores incobrablesRE (NEGATIVO)acreedor</t>
  </si>
  <si>
    <t>HonorariosRE (NEGATIVO)acreedor</t>
  </si>
  <si>
    <t>Aportes irrevocables para absober</t>
  </si>
  <si>
    <t>Aportes irrevocables para futuras</t>
  </si>
  <si>
    <t>Gastos variosRE (NEGATIVO)acreedor</t>
  </si>
  <si>
    <t>Depreciaciones RE (NEGATIVO)acreedor</t>
  </si>
  <si>
    <t>Sueldos y jornalesRE (NEGATIVO)acreedor</t>
  </si>
  <si>
    <t>Cargas socialesRE (NEGATIVO)acreedor</t>
  </si>
  <si>
    <t>IMPORTE TOTAL DEBE:</t>
  </si>
  <si>
    <t>IMPORTE TOTAL HABER:</t>
  </si>
  <si>
    <t>Resultado ( + )</t>
  </si>
  <si>
    <t>Depreciaciones</t>
  </si>
  <si>
    <t>Banco XXX</t>
  </si>
  <si>
    <t>MercadoPago</t>
  </si>
  <si>
    <t>Depreciación Acumulada de Inmuebles</t>
  </si>
  <si>
    <t>Depreciación Acumulada de Rodados</t>
  </si>
  <si>
    <t>Depreciación Acumulada de Equipos de Computación</t>
  </si>
  <si>
    <t>Depreciación Acumulada de Instalaciones</t>
  </si>
  <si>
    <t>Depreciación Acumulada de Muebles y Útiles</t>
  </si>
  <si>
    <t>Resultado ( – )</t>
  </si>
  <si>
    <t>Leyenda</t>
  </si>
  <si>
    <t>BINARIO</t>
  </si>
  <si>
    <t>COMPROBANTE</t>
  </si>
  <si>
    <t>Factura</t>
  </si>
  <si>
    <t>Nota de Crédito</t>
  </si>
  <si>
    <t>Nota de Débito</t>
  </si>
  <si>
    <t>Recibo</t>
  </si>
  <si>
    <t>Remito</t>
  </si>
  <si>
    <t>RUBRO</t>
  </si>
  <si>
    <t>A</t>
  </si>
  <si>
    <t>R</t>
  </si>
  <si>
    <t>B</t>
  </si>
  <si>
    <t>C</t>
  </si>
  <si>
    <t>E</t>
  </si>
  <si>
    <t>M</t>
  </si>
  <si>
    <t>PUNTO VTA</t>
  </si>
  <si>
    <t>Cuenta</t>
  </si>
  <si>
    <t>DETALLE</t>
  </si>
  <si>
    <t>PRECIO</t>
  </si>
  <si>
    <t>CANTIDAD</t>
  </si>
  <si>
    <t>SUBTOTAL</t>
  </si>
  <si>
    <t>Fondo Fijo - Caja Chica</t>
  </si>
  <si>
    <t>Arqueo de caja diaria.</t>
  </si>
  <si>
    <t>Contrasiento Nº 4</t>
  </si>
  <si>
    <t>Contrasiento Nº 2</t>
  </si>
  <si>
    <t>Contrasiento Nº 1</t>
  </si>
  <si>
    <t>Contrasiento Nº 8</t>
  </si>
  <si>
    <t>Compra de estantería</t>
  </si>
</sst>
</file>

<file path=xl/styles.xml><?xml version="1.0" encoding="utf-8"?>
<styleSheet xmlns="http://schemas.openxmlformats.org/spreadsheetml/2006/main">
  <numFmts count="1">
    <numFmt numFmtId="164" formatCode="_-[$$-2C0A]\ * #,##0.00_-;\-[$$-2C0A]\ * #,##0.00_-;_-[$$-2C0A]\ * &quot;-&quot;??_-;_-@_-"/>
  </numFmts>
  <fonts count="10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2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0" fillId="0" borderId="0" xfId="0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3" fillId="2" borderId="0" xfId="0" applyNumberFormat="1" applyFont="1" applyFill="1" applyAlignment="1" applyProtection="1">
      <alignment horizontal="right"/>
      <protection locked="0"/>
    </xf>
    <xf numFmtId="0" fontId="3" fillId="2" borderId="9" xfId="0" applyFont="1" applyFill="1" applyBorder="1" applyAlignment="1" applyProtection="1">
      <alignment horizontal="right"/>
    </xf>
    <xf numFmtId="0" fontId="7" fillId="0" borderId="0" xfId="0" applyFont="1"/>
    <xf numFmtId="14" fontId="0" fillId="0" borderId="0" xfId="0" applyNumberFormat="1"/>
    <xf numFmtId="14" fontId="5" fillId="5" borderId="0" xfId="0" applyNumberFormat="1" applyFont="1" applyFill="1" applyAlignment="1" applyProtection="1">
      <alignment horizontal="right"/>
      <protection locked="0"/>
    </xf>
    <xf numFmtId="3" fontId="6" fillId="0" borderId="0" xfId="0" applyNumberFormat="1" applyFont="1" applyProtection="1">
      <protection locked="0"/>
    </xf>
    <xf numFmtId="3" fontId="5" fillId="4" borderId="0" xfId="0" applyNumberFormat="1" applyFont="1" applyFill="1" applyAlignment="1" applyProtection="1">
      <alignment horizontal="right"/>
      <protection locked="0"/>
    </xf>
    <xf numFmtId="2" fontId="9" fillId="0" borderId="0" xfId="0" applyNumberFormat="1" applyFont="1" applyProtection="1">
      <protection locked="0"/>
    </xf>
    <xf numFmtId="0" fontId="0" fillId="0" borderId="0" xfId="0" quotePrefix="1" applyNumberFormat="1"/>
    <xf numFmtId="0" fontId="0" fillId="0" borderId="10" xfId="0" applyBorder="1" applyAlignment="1" applyProtection="1">
      <alignment vertical="center"/>
      <protection locked="0"/>
    </xf>
    <xf numFmtId="0" fontId="0" fillId="0" borderId="4" xfId="0" applyFont="1" applyBorder="1" applyAlignment="1" applyProtection="1">
      <alignment vertical="center"/>
      <protection locked="0"/>
    </xf>
    <xf numFmtId="0" fontId="0" fillId="0" borderId="5" xfId="0" applyFont="1" applyBorder="1" applyAlignment="1" applyProtection="1">
      <alignment vertical="center"/>
      <protection locked="0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21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auto="1"/>
        </top>
      </border>
    </dxf>
    <dxf>
      <protection locked="0" hidden="0"/>
    </dxf>
    <dxf>
      <border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0" indent="0" relativeIndent="255" justifyLastLine="0" shrinkToFit="0" readingOrder="0"/>
      <border diagonalUp="0" diagonalDown="0">
        <left/>
        <right/>
        <top/>
        <bottom/>
      </border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protection locked="1" hidden="0"/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3" name="Tabla3" displayName="Tabla3" ref="A4:G19" totalsRowShown="0" headerRowDxfId="18" dataDxfId="17">
  <tableColumns count="7">
    <tableColumn id="2" name="CODIGO" dataDxfId="16"/>
    <tableColumn id="3" name="CUENTA" dataDxfId="15"/>
    <tableColumn id="4" name="DEBE" dataDxfId="14"/>
    <tableColumn id="5" name="a" dataDxfId="13"/>
    <tableColumn id="6" name="CODIGO " dataDxfId="12"/>
    <tableColumn id="7" name="CUENTA " dataDxfId="11"/>
    <tableColumn id="8" name="HABER" dataDxfId="1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F106" totalsRowShown="0" headerRowDxfId="9" dataDxfId="7" headerRowBorderDxfId="8" tableBorderDxfId="6">
  <autoFilter ref="A1:F106"/>
  <tableColumns count="6">
    <tableColumn id="1" name="Código" dataDxfId="5"/>
    <tableColumn id="2" name="Descripción" dataDxfId="4"/>
    <tableColumn id="3" name="Clasificación" dataDxfId="3"/>
    <tableColumn id="4" name="Imputable" dataDxfId="2"/>
    <tableColumn id="5" name="Asiento Automático" dataDxfId="1"/>
    <tableColumn id="6" name="Centro de Costos" dataDxfId="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5" name="Tabla5" displayName="Tabla5" ref="A1:E7" totalsRowShown="0">
  <tableColumns count="5">
    <tableColumn id="1" name="RUBRO"/>
    <tableColumn id="2" name="BINARIO"/>
    <tableColumn id="3" name="COMPROBANTE"/>
    <tableColumn id="4" name="TIPO"/>
    <tableColumn id="5" name="PUNTO VTA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tabColor rgb="FF92D050"/>
  </sheetPr>
  <dimension ref="A1:G22"/>
  <sheetViews>
    <sheetView showGridLines="0" tabSelected="1" workbookViewId="0">
      <selection activeCell="C1" sqref="C1"/>
    </sheetView>
  </sheetViews>
  <sheetFormatPr baseColWidth="10" defaultColWidth="11.19921875" defaultRowHeight="15.6"/>
  <cols>
    <col min="1" max="1" width="10.19921875" style="1" customWidth="1"/>
    <col min="2" max="2" width="36.69921875" style="1" customWidth="1"/>
    <col min="3" max="3" width="20.19921875" style="1" customWidth="1"/>
    <col min="4" max="4" width="11.19921875" style="1" customWidth="1"/>
    <col min="5" max="5" width="10.09765625" style="1" customWidth="1"/>
    <col min="6" max="6" width="39.09765625" style="1" customWidth="1"/>
    <col min="7" max="7" width="22.3984375" style="1" customWidth="1"/>
    <col min="8" max="8" width="2.59765625" style="1" customWidth="1"/>
    <col min="9" max="9" width="13.3984375" style="1" customWidth="1"/>
    <col min="10" max="10" width="16.5" style="1" customWidth="1"/>
    <col min="11" max="16384" width="11.19921875" style="1"/>
  </cols>
  <sheetData>
    <row r="1" spans="1:7" ht="42" customHeight="1"/>
    <row r="3" spans="1:7" ht="23.4">
      <c r="B3" s="14" t="s">
        <v>28</v>
      </c>
      <c r="C3" s="19">
        <v>10</v>
      </c>
      <c r="F3" s="14" t="s">
        <v>33</v>
      </c>
      <c r="G3" s="17">
        <f ca="1">TODAY()</f>
        <v>45992</v>
      </c>
    </row>
    <row r="4" spans="1:7">
      <c r="A4" s="4" t="s">
        <v>29</v>
      </c>
      <c r="B4" s="3" t="s">
        <v>30</v>
      </c>
      <c r="C4" s="3" t="s">
        <v>25</v>
      </c>
      <c r="D4" s="3" t="s">
        <v>26</v>
      </c>
      <c r="E4" s="3" t="s">
        <v>31</v>
      </c>
      <c r="F4" s="3" t="s">
        <v>32</v>
      </c>
      <c r="G4" s="5" t="s">
        <v>27</v>
      </c>
    </row>
    <row r="5" spans="1:7">
      <c r="A5" s="18">
        <v>121410</v>
      </c>
      <c r="B5" s="2" t="s">
        <v>74</v>
      </c>
      <c r="C5" s="12">
        <v>150000</v>
      </c>
      <c r="E5" s="18"/>
      <c r="F5" s="2"/>
      <c r="G5" s="12"/>
    </row>
    <row r="6" spans="1:7">
      <c r="A6" s="18"/>
      <c r="B6" s="2"/>
      <c r="C6" s="12"/>
      <c r="E6" s="18">
        <v>111010</v>
      </c>
      <c r="F6" s="2" t="s">
        <v>182</v>
      </c>
      <c r="G6" s="12">
        <v>150000</v>
      </c>
    </row>
    <row r="7" spans="1:7">
      <c r="A7" s="18"/>
      <c r="B7" s="2"/>
      <c r="C7" s="12"/>
      <c r="E7" s="18"/>
      <c r="F7" s="2"/>
      <c r="G7" s="12"/>
    </row>
    <row r="8" spans="1:7">
      <c r="A8" s="18"/>
      <c r="B8" s="2"/>
      <c r="C8" s="12"/>
      <c r="E8" s="18"/>
      <c r="F8" s="2"/>
      <c r="G8" s="12"/>
    </row>
    <row r="9" spans="1:7">
      <c r="A9" s="18"/>
      <c r="B9" s="2"/>
      <c r="C9" s="12"/>
      <c r="E9" s="18"/>
      <c r="F9" s="2"/>
      <c r="G9" s="12"/>
    </row>
    <row r="10" spans="1:7">
      <c r="A10" s="18"/>
      <c r="B10" s="2"/>
      <c r="C10" s="12"/>
      <c r="E10" s="18"/>
      <c r="F10" s="2"/>
      <c r="G10" s="12"/>
    </row>
    <row r="11" spans="1:7">
      <c r="A11" s="18"/>
      <c r="B11" s="2"/>
      <c r="C11" s="12"/>
      <c r="E11" s="18"/>
      <c r="F11" s="2"/>
      <c r="G11" s="12"/>
    </row>
    <row r="12" spans="1:7">
      <c r="A12" s="18"/>
      <c r="B12" s="2"/>
      <c r="C12" s="12"/>
      <c r="E12" s="18"/>
      <c r="F12" s="2"/>
      <c r="G12" s="12"/>
    </row>
    <row r="13" spans="1:7">
      <c r="A13" s="18"/>
      <c r="B13" s="2"/>
      <c r="C13" s="12"/>
      <c r="E13" s="18"/>
      <c r="F13" s="2"/>
      <c r="G13" s="12"/>
    </row>
    <row r="14" spans="1:7">
      <c r="A14" s="18"/>
      <c r="B14" s="2"/>
      <c r="C14" s="12"/>
      <c r="E14" s="18"/>
      <c r="F14" s="2"/>
      <c r="G14" s="12"/>
    </row>
    <row r="15" spans="1:7">
      <c r="A15" s="18"/>
      <c r="B15" s="2"/>
      <c r="C15" s="12"/>
      <c r="E15" s="18"/>
      <c r="F15" s="2"/>
      <c r="G15" s="12"/>
    </row>
    <row r="16" spans="1:7">
      <c r="A16" s="18"/>
      <c r="B16" s="2"/>
      <c r="C16" s="12"/>
      <c r="E16" s="18"/>
      <c r="F16" s="2"/>
      <c r="G16" s="12"/>
    </row>
    <row r="17" spans="1:7">
      <c r="A17" s="18"/>
      <c r="B17" s="2"/>
      <c r="C17" s="12"/>
      <c r="E17" s="18"/>
      <c r="F17" s="2"/>
      <c r="G17" s="12"/>
    </row>
    <row r="18" spans="1:7">
      <c r="A18" s="18"/>
      <c r="B18" s="2"/>
      <c r="C18" s="12"/>
      <c r="E18" s="18"/>
      <c r="F18" s="2"/>
      <c r="G18" s="12"/>
    </row>
    <row r="19" spans="1:7">
      <c r="A19" s="18"/>
      <c r="B19" s="2"/>
      <c r="C19" s="12"/>
      <c r="E19" s="18"/>
      <c r="F19" s="2"/>
      <c r="G19" s="12"/>
    </row>
    <row r="20" spans="1:7" ht="18">
      <c r="A20" s="2"/>
      <c r="B20" s="11" t="s">
        <v>178</v>
      </c>
      <c r="C20" s="13">
        <f>SUBTOTAL(109,Tabla3[DEBE])*1</f>
        <v>150000</v>
      </c>
      <c r="D20" s="20">
        <f>IF(C20-G20=0,0,C20-G20)</f>
        <v>0</v>
      </c>
      <c r="E20" s="12"/>
      <c r="F20" s="11" t="s">
        <v>179</v>
      </c>
      <c r="G20" s="13">
        <f>SUBTOTAL(109,Tabla3[HABER])</f>
        <v>150000</v>
      </c>
    </row>
    <row r="22" spans="1:7" ht="61.95" customHeight="1">
      <c r="A22" s="25" t="s">
        <v>34</v>
      </c>
      <c r="B22" s="26"/>
      <c r="C22" s="22" t="s">
        <v>217</v>
      </c>
      <c r="D22" s="23"/>
      <c r="E22" s="23"/>
      <c r="F22" s="23"/>
      <c r="G22" s="24"/>
    </row>
  </sheetData>
  <mergeCells count="2">
    <mergeCell ref="C22:G22"/>
    <mergeCell ref="A22:B22"/>
  </mergeCells>
  <conditionalFormatting sqref="E20">
    <cfRule type="cellIs" dxfId="20" priority="3" operator="notEqual">
      <formula>0</formula>
    </cfRule>
  </conditionalFormatting>
  <conditionalFormatting sqref="D20">
    <cfRule type="cellIs" dxfId="19" priority="1" operator="notEqual">
      <formula>0</formula>
    </cfRule>
  </conditionalFormatting>
  <dataValidations count="2">
    <dataValidation type="list" allowBlank="1" showInputMessage="1" showErrorMessage="1" sqref="B5:B19 F5:F19">
      <formula1>Cuenta</formula1>
    </dataValidation>
    <dataValidation type="list" allowBlank="1" showInputMessage="1" showErrorMessage="1" sqref="A5:A19 E5:E19">
      <formula1>Codigo</formula1>
    </dataValidation>
  </dataValidations>
  <pageMargins left="0.7" right="0.7" top="0.75" bottom="0.75" header="0.3" footer="0.3"/>
  <pageSetup paperSize="9" orientation="portrait" r:id="rId1"/>
  <ignoredErrors>
    <ignoredError sqref="C20 G20" unlockedFormula="1"/>
  </ignoredError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>
    <tabColor theme="6" tint="-0.499984740745262"/>
  </sheetPr>
  <dimension ref="A1:G41"/>
  <sheetViews>
    <sheetView topLeftCell="A26" workbookViewId="0">
      <selection activeCell="C50" sqref="C50"/>
    </sheetView>
  </sheetViews>
  <sheetFormatPr baseColWidth="10" defaultRowHeight="15.6"/>
  <cols>
    <col min="1" max="1" width="14.09765625" bestFit="1" customWidth="1"/>
    <col min="4" max="4" width="30.59765625" customWidth="1"/>
    <col min="5" max="5" width="21" customWidth="1"/>
    <col min="6" max="6" width="18" customWidth="1"/>
    <col min="7" max="7" width="56" customWidth="1"/>
  </cols>
  <sheetData>
    <row r="1" spans="1:7">
      <c r="A1" t="s">
        <v>24</v>
      </c>
      <c r="B1" t="s">
        <v>15</v>
      </c>
      <c r="C1" t="s">
        <v>0</v>
      </c>
      <c r="D1" t="s">
        <v>206</v>
      </c>
      <c r="E1" t="s">
        <v>16</v>
      </c>
      <c r="F1" t="s">
        <v>17</v>
      </c>
      <c r="G1" t="s">
        <v>190</v>
      </c>
    </row>
    <row r="2" spans="1:7">
      <c r="A2">
        <v>1</v>
      </c>
      <c r="B2" s="16">
        <v>45987</v>
      </c>
      <c r="C2" s="21">
        <v>111020</v>
      </c>
      <c r="D2" t="str">
        <f>VLOOKUP(C2,Tabla4[#All],2,FALSE)</f>
        <v>Valores a Depositar</v>
      </c>
      <c r="E2">
        <v>15000</v>
      </c>
      <c r="G2" t="s">
        <v>212</v>
      </c>
    </row>
    <row r="3" spans="1:7">
      <c r="A3">
        <v>1</v>
      </c>
      <c r="B3" s="16">
        <v>45987</v>
      </c>
      <c r="C3">
        <v>111003</v>
      </c>
      <c r="D3" t="str">
        <f>VLOOKUP(C3,Tabla4[#All],2,FALSE)</f>
        <v>Fondo Fijo - Caja Chica</v>
      </c>
      <c r="E3">
        <v>5000</v>
      </c>
      <c r="G3" t="s">
        <v>212</v>
      </c>
    </row>
    <row r="4" spans="1:7">
      <c r="A4">
        <v>1</v>
      </c>
      <c r="B4" s="16">
        <v>45987</v>
      </c>
      <c r="C4">
        <v>111001</v>
      </c>
      <c r="D4" t="str">
        <f>VLOOKUP(C4,Tabla4[#All],2,FALSE)</f>
        <v>Caja $</v>
      </c>
      <c r="F4">
        <v>20000</v>
      </c>
      <c r="G4" t="s">
        <v>212</v>
      </c>
    </row>
    <row r="5" spans="1:7">
      <c r="A5">
        <v>1</v>
      </c>
      <c r="B5" s="16">
        <v>45987</v>
      </c>
      <c r="C5">
        <v>111020</v>
      </c>
      <c r="D5" t="str">
        <f>VLOOKUP(C5,Tabla4[#All],2,FALSE)</f>
        <v>Valores a Depositar</v>
      </c>
      <c r="E5">
        <v>15000</v>
      </c>
      <c r="G5" t="s">
        <v>212</v>
      </c>
    </row>
    <row r="6" spans="1:7">
      <c r="A6">
        <v>1</v>
      </c>
      <c r="B6" s="16">
        <v>45987</v>
      </c>
      <c r="C6">
        <v>111003</v>
      </c>
      <c r="D6" t="str">
        <f>VLOOKUP(C6,Tabla4[#All],2,FALSE)</f>
        <v>Fondo Fijo - Caja Chica</v>
      </c>
      <c r="E6">
        <v>5000</v>
      </c>
      <c r="G6" t="s">
        <v>212</v>
      </c>
    </row>
    <row r="7" spans="1:7">
      <c r="A7">
        <v>1</v>
      </c>
      <c r="B7" s="16">
        <v>45987</v>
      </c>
      <c r="C7">
        <v>111001</v>
      </c>
      <c r="D7" t="str">
        <f>VLOOKUP(C7,Tabla4[#All],2,FALSE)</f>
        <v>Caja $</v>
      </c>
      <c r="F7">
        <v>20000</v>
      </c>
      <c r="G7" t="s">
        <v>212</v>
      </c>
    </row>
    <row r="8" spans="1:7">
      <c r="A8">
        <v>1</v>
      </c>
      <c r="B8" s="16">
        <v>45987</v>
      </c>
      <c r="C8">
        <v>111020</v>
      </c>
      <c r="D8" t="str">
        <f>VLOOKUP(C8,Tabla4[#All],2,FALSE)</f>
        <v>Valores a Depositar</v>
      </c>
      <c r="E8">
        <v>15000</v>
      </c>
      <c r="G8" t="s">
        <v>212</v>
      </c>
    </row>
    <row r="9" spans="1:7">
      <c r="A9">
        <v>1</v>
      </c>
      <c r="B9" s="16">
        <v>45987</v>
      </c>
      <c r="C9">
        <v>111003</v>
      </c>
      <c r="D9" t="str">
        <f>VLOOKUP(C9,Tabla4[#All],2,FALSE)</f>
        <v>Fondo Fijo - Caja Chica</v>
      </c>
      <c r="E9">
        <v>5000</v>
      </c>
      <c r="G9" t="s">
        <v>212</v>
      </c>
    </row>
    <row r="10" spans="1:7">
      <c r="A10">
        <v>1</v>
      </c>
      <c r="B10" s="16">
        <v>45987</v>
      </c>
      <c r="C10">
        <v>111001</v>
      </c>
      <c r="D10" t="str">
        <f>VLOOKUP(C10,Tabla4[#All],2,FALSE)</f>
        <v>Caja $</v>
      </c>
      <c r="F10">
        <v>20000</v>
      </c>
      <c r="G10" t="s">
        <v>212</v>
      </c>
    </row>
    <row r="11" spans="1:7">
      <c r="A11">
        <v>2</v>
      </c>
      <c r="B11" s="16">
        <v>45987</v>
      </c>
      <c r="C11">
        <v>111020</v>
      </c>
      <c r="D11" t="str">
        <f>VLOOKUP(C11,Tabla4[#All],2,FALSE)</f>
        <v>Valores a Depositar</v>
      </c>
      <c r="E11">
        <v>15000</v>
      </c>
      <c r="G11" t="s">
        <v>212</v>
      </c>
    </row>
    <row r="12" spans="1:7">
      <c r="A12">
        <v>2</v>
      </c>
      <c r="B12" s="16">
        <v>45987</v>
      </c>
      <c r="C12">
        <v>111003</v>
      </c>
      <c r="D12" t="str">
        <f>VLOOKUP(C12,Tabla4[#All],2,FALSE)</f>
        <v>Fondo Fijo - Caja Chica</v>
      </c>
      <c r="E12">
        <v>5000</v>
      </c>
      <c r="G12" t="s">
        <v>212</v>
      </c>
    </row>
    <row r="13" spans="1:7">
      <c r="A13">
        <v>2</v>
      </c>
      <c r="B13" s="16">
        <v>45987</v>
      </c>
      <c r="C13">
        <v>111001</v>
      </c>
      <c r="D13" t="str">
        <f>VLOOKUP(C13,Tabla4[#All],2,FALSE)</f>
        <v>Caja $</v>
      </c>
      <c r="F13">
        <v>20000</v>
      </c>
      <c r="G13" t="s">
        <v>212</v>
      </c>
    </row>
    <row r="14" spans="1:7">
      <c r="A14">
        <v>4</v>
      </c>
      <c r="B14" s="16">
        <v>45987</v>
      </c>
      <c r="C14">
        <v>111020</v>
      </c>
      <c r="D14" t="str">
        <f>VLOOKUP(C14,Tabla4[#All],2,FALSE)</f>
        <v>Valores a Depositar</v>
      </c>
      <c r="E14">
        <v>15000</v>
      </c>
      <c r="G14" t="s">
        <v>212</v>
      </c>
    </row>
    <row r="15" spans="1:7">
      <c r="A15">
        <v>4</v>
      </c>
      <c r="B15" s="16">
        <v>45987</v>
      </c>
      <c r="C15">
        <v>111003</v>
      </c>
      <c r="D15" t="str">
        <f>VLOOKUP(C15,Tabla4[#All],2,FALSE)</f>
        <v>Fondo Fijo - Caja Chica</v>
      </c>
      <c r="E15">
        <v>5000</v>
      </c>
      <c r="G15" t="s">
        <v>212</v>
      </c>
    </row>
    <row r="16" spans="1:7">
      <c r="A16">
        <v>4</v>
      </c>
      <c r="B16" s="16">
        <v>45987</v>
      </c>
      <c r="C16">
        <v>111001</v>
      </c>
      <c r="D16" t="str">
        <f>VLOOKUP(C16,Tabla4[#All],2,FALSE)</f>
        <v>Caja $</v>
      </c>
      <c r="F16">
        <v>20000</v>
      </c>
      <c r="G16" t="s">
        <v>212</v>
      </c>
    </row>
    <row r="17" spans="1:7">
      <c r="A17">
        <v>5</v>
      </c>
      <c r="B17" s="16">
        <v>45669</v>
      </c>
      <c r="C17">
        <v>111020</v>
      </c>
      <c r="D17" t="str">
        <f>VLOOKUP(C17,Tabla4[#All],2,FALSE)</f>
        <v>Valores a Depositar</v>
      </c>
      <c r="F17">
        <v>15000</v>
      </c>
      <c r="G17" t="s">
        <v>213</v>
      </c>
    </row>
    <row r="18" spans="1:7">
      <c r="A18">
        <v>5</v>
      </c>
      <c r="B18" s="16">
        <v>45669</v>
      </c>
      <c r="C18">
        <v>111003</v>
      </c>
      <c r="D18" t="str">
        <f>VLOOKUP(C18,Tabla4[#All],2,FALSE)</f>
        <v>Fondo Fijo - Caja Chica</v>
      </c>
      <c r="F18">
        <v>5000</v>
      </c>
      <c r="G18" t="s">
        <v>213</v>
      </c>
    </row>
    <row r="19" spans="1:7">
      <c r="A19">
        <v>5</v>
      </c>
      <c r="B19" s="16">
        <v>45669</v>
      </c>
      <c r="C19">
        <v>111001</v>
      </c>
      <c r="D19" t="str">
        <f>VLOOKUP(C19,Tabla4[#All],2,FALSE)</f>
        <v>Caja $</v>
      </c>
      <c r="E19">
        <v>20000</v>
      </c>
      <c r="G19" t="s">
        <v>213</v>
      </c>
    </row>
    <row r="20" spans="1:7">
      <c r="A20">
        <v>6</v>
      </c>
      <c r="B20" s="16">
        <v>45669</v>
      </c>
      <c r="C20">
        <v>111020</v>
      </c>
      <c r="D20" t="str">
        <f>VLOOKUP(C20,Tabla4[#All],2,FALSE)</f>
        <v>Valores a Depositar</v>
      </c>
      <c r="F20">
        <v>15000</v>
      </c>
      <c r="G20" t="s">
        <v>214</v>
      </c>
    </row>
    <row r="21" spans="1:7">
      <c r="A21">
        <v>6</v>
      </c>
      <c r="B21" s="16">
        <v>45669</v>
      </c>
      <c r="C21">
        <v>111003</v>
      </c>
      <c r="D21" t="str">
        <f>VLOOKUP(C21,Tabla4[#All],2,FALSE)</f>
        <v>Fondo Fijo - Caja Chica</v>
      </c>
      <c r="F21">
        <v>5000</v>
      </c>
      <c r="G21" t="s">
        <v>214</v>
      </c>
    </row>
    <row r="22" spans="1:7">
      <c r="A22">
        <v>6</v>
      </c>
      <c r="B22" s="16">
        <v>45669</v>
      </c>
      <c r="C22">
        <v>111001</v>
      </c>
      <c r="D22" t="str">
        <f>VLOOKUP(C22,Tabla4[#All],2,FALSE)</f>
        <v>Caja $</v>
      </c>
      <c r="E22">
        <v>20000</v>
      </c>
      <c r="G22" t="s">
        <v>214</v>
      </c>
    </row>
    <row r="23" spans="1:7">
      <c r="A23">
        <v>7</v>
      </c>
      <c r="B23" s="16">
        <v>45669</v>
      </c>
      <c r="C23">
        <v>111003</v>
      </c>
      <c r="D23" t="str">
        <f>VLOOKUP(C23,Tabla4[#All],2,FALSE)</f>
        <v>Fondo Fijo - Caja Chica</v>
      </c>
      <c r="F23">
        <v>5000</v>
      </c>
      <c r="G23" t="s">
        <v>215</v>
      </c>
    </row>
    <row r="24" spans="1:7">
      <c r="A24">
        <v>7</v>
      </c>
      <c r="B24" s="16">
        <v>45669</v>
      </c>
      <c r="C24">
        <v>111001</v>
      </c>
      <c r="D24" t="str">
        <f>VLOOKUP(C24,Tabla4[#All],2,FALSE)</f>
        <v>Caja $</v>
      </c>
      <c r="E24">
        <v>20000</v>
      </c>
      <c r="G24" t="s">
        <v>215</v>
      </c>
    </row>
    <row r="25" spans="1:7">
      <c r="A25">
        <v>7</v>
      </c>
      <c r="B25" s="16">
        <v>45669</v>
      </c>
      <c r="C25">
        <v>111020</v>
      </c>
      <c r="D25" t="str">
        <f>VLOOKUP(C25,Tabla4[#All],2,FALSE)</f>
        <v>Valores a Depositar</v>
      </c>
      <c r="F25">
        <v>15000</v>
      </c>
      <c r="G25" t="s">
        <v>215</v>
      </c>
    </row>
    <row r="26" spans="1:7">
      <c r="A26">
        <v>7</v>
      </c>
      <c r="B26" s="16">
        <v>45669</v>
      </c>
      <c r="C26">
        <v>111003</v>
      </c>
      <c r="D26" t="str">
        <f>VLOOKUP(C26,Tabla4[#All],2,FALSE)</f>
        <v>Fondo Fijo - Caja Chica</v>
      </c>
      <c r="F26">
        <v>5000</v>
      </c>
      <c r="G26" t="s">
        <v>215</v>
      </c>
    </row>
    <row r="27" spans="1:7">
      <c r="A27">
        <v>7</v>
      </c>
      <c r="B27" s="16">
        <v>45669</v>
      </c>
      <c r="C27">
        <v>111001</v>
      </c>
      <c r="D27" t="str">
        <f>VLOOKUP(C27,Tabla4[#All],2,FALSE)</f>
        <v>Caja $</v>
      </c>
      <c r="E27">
        <v>20000</v>
      </c>
      <c r="G27" t="s">
        <v>215</v>
      </c>
    </row>
    <row r="28" spans="1:7">
      <c r="A28">
        <v>7</v>
      </c>
      <c r="B28" s="16">
        <v>45669</v>
      </c>
      <c r="C28">
        <v>111020</v>
      </c>
      <c r="D28" t="str">
        <f>VLOOKUP(C28,Tabla4[#All],2,FALSE)</f>
        <v>Valores a Depositar</v>
      </c>
      <c r="F28">
        <v>15000</v>
      </c>
      <c r="G28" t="s">
        <v>215</v>
      </c>
    </row>
    <row r="29" spans="1:7">
      <c r="A29">
        <v>7</v>
      </c>
      <c r="B29" s="16">
        <v>45669</v>
      </c>
      <c r="C29">
        <v>111003</v>
      </c>
      <c r="D29" t="str">
        <f>VLOOKUP(C29,Tabla4[#All],2,FALSE)</f>
        <v>Fondo Fijo - Caja Chica</v>
      </c>
      <c r="F29">
        <v>5000</v>
      </c>
      <c r="G29" t="s">
        <v>215</v>
      </c>
    </row>
    <row r="30" spans="1:7">
      <c r="A30">
        <v>7</v>
      </c>
      <c r="B30" s="16">
        <v>45669</v>
      </c>
      <c r="C30">
        <v>111001</v>
      </c>
      <c r="D30" t="str">
        <f>VLOOKUP(C30,Tabla4[#All],2,FALSE)</f>
        <v>Caja $</v>
      </c>
      <c r="E30">
        <v>20000</v>
      </c>
      <c r="G30" t="s">
        <v>215</v>
      </c>
    </row>
    <row r="31" spans="1:7">
      <c r="A31">
        <v>7</v>
      </c>
      <c r="B31" s="16">
        <v>45669</v>
      </c>
      <c r="C31">
        <v>111020</v>
      </c>
      <c r="D31" t="str">
        <f>VLOOKUP(C31,Tabla4[#All],2,FALSE)</f>
        <v>Valores a Depositar</v>
      </c>
      <c r="F31">
        <v>15000</v>
      </c>
      <c r="G31" t="s">
        <v>215</v>
      </c>
    </row>
    <row r="32" spans="1:7">
      <c r="A32">
        <v>8</v>
      </c>
      <c r="B32" s="16">
        <v>45992</v>
      </c>
      <c r="C32">
        <v>121410</v>
      </c>
      <c r="D32" t="str">
        <f>VLOOKUP(C32,Tabla4[#All],2,FALSE)</f>
        <v>Instalaciones</v>
      </c>
      <c r="E32">
        <v>150000</v>
      </c>
      <c r="G32" t="s">
        <v>212</v>
      </c>
    </row>
    <row r="33" spans="1:7">
      <c r="A33">
        <v>8</v>
      </c>
      <c r="B33" s="16">
        <v>45992</v>
      </c>
      <c r="C33">
        <v>111010</v>
      </c>
      <c r="D33" t="str">
        <f>VLOOKUP(C33,Tabla4[#All],2,FALSE)</f>
        <v>Banco XXX</v>
      </c>
      <c r="F33">
        <v>150000</v>
      </c>
      <c r="G33" t="s">
        <v>212</v>
      </c>
    </row>
    <row r="34" spans="1:7">
      <c r="A34">
        <v>8</v>
      </c>
      <c r="B34" s="16">
        <v>45992</v>
      </c>
      <c r="C34">
        <v>121410</v>
      </c>
      <c r="D34" t="str">
        <f>VLOOKUP(C34,Tabla4[#All],2,FALSE)</f>
        <v>Instalaciones</v>
      </c>
      <c r="E34">
        <v>150000</v>
      </c>
      <c r="G34" t="s">
        <v>212</v>
      </c>
    </row>
    <row r="35" spans="1:7">
      <c r="A35">
        <v>8</v>
      </c>
      <c r="B35" s="16">
        <v>45992</v>
      </c>
      <c r="C35">
        <v>111010</v>
      </c>
      <c r="D35" t="str">
        <f>VLOOKUP(C35,Tabla4[#All],2,FALSE)</f>
        <v>Banco XXX</v>
      </c>
      <c r="F35">
        <v>150000</v>
      </c>
      <c r="G35" t="s">
        <v>212</v>
      </c>
    </row>
    <row r="36" spans="1:7">
      <c r="A36">
        <v>9</v>
      </c>
      <c r="B36" s="16">
        <v>45992</v>
      </c>
      <c r="C36">
        <v>121410</v>
      </c>
      <c r="D36" t="str">
        <f>VLOOKUP(C36,Tabla4[#All],2,FALSE)</f>
        <v>Instalaciones</v>
      </c>
      <c r="E36">
        <v>150000</v>
      </c>
      <c r="G36" t="s">
        <v>212</v>
      </c>
    </row>
    <row r="37" spans="1:7">
      <c r="A37">
        <v>9</v>
      </c>
      <c r="B37" s="16">
        <v>45992</v>
      </c>
      <c r="C37">
        <v>111010</v>
      </c>
      <c r="D37" t="str">
        <f>VLOOKUP(C37,Tabla4[#All],2,FALSE)</f>
        <v>Banco XXX</v>
      </c>
      <c r="F37">
        <v>150000</v>
      </c>
      <c r="G37" t="s">
        <v>212</v>
      </c>
    </row>
    <row r="38" spans="1:7">
      <c r="A38">
        <v>10</v>
      </c>
      <c r="B38" s="16">
        <v>45669</v>
      </c>
      <c r="C38">
        <v>121410</v>
      </c>
      <c r="D38" t="str">
        <f>VLOOKUP(C38,Tabla4[#All],2,FALSE)</f>
        <v>Instalaciones</v>
      </c>
      <c r="F38">
        <v>150000</v>
      </c>
      <c r="G38" t="s">
        <v>216</v>
      </c>
    </row>
    <row r="39" spans="1:7">
      <c r="A39">
        <v>10</v>
      </c>
      <c r="B39" s="16">
        <v>45669</v>
      </c>
      <c r="C39">
        <v>111010</v>
      </c>
      <c r="D39" t="str">
        <f>VLOOKUP(C39,Tabla4[#All],2,FALSE)</f>
        <v>Banco XXX</v>
      </c>
      <c r="E39">
        <v>150000</v>
      </c>
      <c r="G39" t="s">
        <v>216</v>
      </c>
    </row>
    <row r="40" spans="1:7">
      <c r="A40">
        <v>10</v>
      </c>
      <c r="B40" s="16">
        <v>45669</v>
      </c>
      <c r="C40">
        <v>121410</v>
      </c>
      <c r="D40" t="str">
        <f>VLOOKUP(C40,Tabla4[#All],2,FALSE)</f>
        <v>Instalaciones</v>
      </c>
      <c r="F40">
        <v>150000</v>
      </c>
      <c r="G40" t="s">
        <v>216</v>
      </c>
    </row>
    <row r="41" spans="1:7">
      <c r="A41">
        <v>10</v>
      </c>
      <c r="B41" s="16">
        <v>45669</v>
      </c>
      <c r="C41">
        <v>111010</v>
      </c>
      <c r="D41" t="str">
        <f>VLOOKUP(C41,Tabla4[#All],2,FALSE)</f>
        <v>Banco XXX</v>
      </c>
      <c r="E41">
        <v>150000</v>
      </c>
      <c r="G41" t="s">
        <v>216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>
    <tabColor rgb="FFFFC000"/>
  </sheetPr>
  <dimension ref="A1"/>
  <sheetViews>
    <sheetView workbookViewId="0">
      <selection activeCell="C22" sqref="C22"/>
    </sheetView>
  </sheetViews>
  <sheetFormatPr baseColWidth="10" defaultRowHeight="15.6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>
    <tabColor theme="8"/>
  </sheetPr>
  <dimension ref="A1"/>
  <sheetViews>
    <sheetView workbookViewId="0"/>
  </sheetViews>
  <sheetFormatPr baseColWidth="10" defaultRowHeight="15.6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>
    <tabColor theme="7" tint="-0.499984740745262"/>
  </sheetPr>
  <dimension ref="A1"/>
  <sheetViews>
    <sheetView workbookViewId="0"/>
  </sheetViews>
  <sheetFormatPr baseColWidth="10" defaultRowHeight="15.6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>
    <tabColor rgb="FF002060"/>
  </sheetPr>
  <dimension ref="A1"/>
  <sheetViews>
    <sheetView workbookViewId="0">
      <selection activeCell="G21" sqref="G21"/>
    </sheetView>
  </sheetViews>
  <sheetFormatPr baseColWidth="10" defaultRowHeight="15.6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>
    <tabColor rgb="FFFF0000"/>
  </sheetPr>
  <dimension ref="A1"/>
  <sheetViews>
    <sheetView workbookViewId="0"/>
  </sheetViews>
  <sheetFormatPr baseColWidth="10" defaultRowHeight="15.6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>
    <tabColor rgb="FFFFFF00"/>
  </sheetPr>
  <dimension ref="A1:F106"/>
  <sheetViews>
    <sheetView workbookViewId="0">
      <pane ySplit="1" topLeftCell="A2" activePane="bottomLeft" state="frozen"/>
      <selection pane="bottomLeft" activeCell="B9" sqref="B9"/>
    </sheetView>
  </sheetViews>
  <sheetFormatPr baseColWidth="10" defaultRowHeight="15.6"/>
  <cols>
    <col min="1" max="1" width="9.8984375" customWidth="1"/>
    <col min="2" max="2" width="62" bestFit="1" customWidth="1"/>
    <col min="3" max="3" width="14.69921875" customWidth="1"/>
    <col min="4" max="4" width="12.69921875" customWidth="1"/>
    <col min="5" max="5" width="22.09765625" customWidth="1"/>
    <col min="6" max="6" width="19" customWidth="1"/>
  </cols>
  <sheetData>
    <row r="1" spans="1:6" ht="22.2" customHeight="1">
      <c r="A1" s="6" t="s">
        <v>0</v>
      </c>
      <c r="B1" s="7" t="s">
        <v>1</v>
      </c>
      <c r="C1" s="7" t="s">
        <v>2</v>
      </c>
      <c r="D1" s="7" t="s">
        <v>21</v>
      </c>
      <c r="E1" s="7" t="s">
        <v>22</v>
      </c>
      <c r="F1" s="8" t="s">
        <v>35</v>
      </c>
    </row>
    <row r="2" spans="1:6">
      <c r="A2" s="10">
        <v>100000</v>
      </c>
      <c r="B2" s="2" t="s">
        <v>3</v>
      </c>
      <c r="C2" s="9" t="s">
        <v>4</v>
      </c>
      <c r="D2" s="9" t="s">
        <v>20</v>
      </c>
      <c r="E2" s="9" t="s">
        <v>20</v>
      </c>
      <c r="F2" s="9" t="s">
        <v>19</v>
      </c>
    </row>
    <row r="3" spans="1:6">
      <c r="A3" s="10">
        <v>110000</v>
      </c>
      <c r="B3" s="2" t="s">
        <v>23</v>
      </c>
      <c r="C3" s="9" t="s">
        <v>4</v>
      </c>
      <c r="D3" s="9" t="s">
        <v>20</v>
      </c>
      <c r="E3" s="9" t="s">
        <v>20</v>
      </c>
      <c r="F3" s="9" t="s">
        <v>19</v>
      </c>
    </row>
    <row r="4" spans="1:6">
      <c r="A4" s="10">
        <v>111000</v>
      </c>
      <c r="B4" s="2" t="s">
        <v>5</v>
      </c>
      <c r="C4" s="9" t="s">
        <v>4</v>
      </c>
      <c r="D4" s="9" t="s">
        <v>20</v>
      </c>
      <c r="E4" s="9" t="s">
        <v>20</v>
      </c>
      <c r="F4" s="9" t="s">
        <v>19</v>
      </c>
    </row>
    <row r="5" spans="1:6">
      <c r="A5" s="10">
        <v>111001</v>
      </c>
      <c r="B5" s="2" t="s">
        <v>36</v>
      </c>
      <c r="C5" s="9" t="s">
        <v>4</v>
      </c>
      <c r="D5" s="9" t="s">
        <v>19</v>
      </c>
      <c r="E5" s="9" t="s">
        <v>20</v>
      </c>
      <c r="F5" s="9" t="s">
        <v>19</v>
      </c>
    </row>
    <row r="6" spans="1:6">
      <c r="A6" s="10">
        <v>111002</v>
      </c>
      <c r="B6" s="2" t="s">
        <v>37</v>
      </c>
      <c r="C6" s="9" t="s">
        <v>4</v>
      </c>
      <c r="D6" s="9" t="s">
        <v>19</v>
      </c>
      <c r="E6" s="9" t="s">
        <v>20</v>
      </c>
      <c r="F6" s="9" t="s">
        <v>19</v>
      </c>
    </row>
    <row r="7" spans="1:6">
      <c r="A7" s="10">
        <v>111003</v>
      </c>
      <c r="B7" s="2" t="s">
        <v>211</v>
      </c>
      <c r="C7" s="9" t="s">
        <v>4</v>
      </c>
      <c r="D7" s="9" t="s">
        <v>19</v>
      </c>
      <c r="E7" s="9" t="s">
        <v>20</v>
      </c>
      <c r="F7" s="9" t="s">
        <v>19</v>
      </c>
    </row>
    <row r="8" spans="1:6">
      <c r="A8" s="10">
        <v>111010</v>
      </c>
      <c r="B8" s="2" t="s">
        <v>182</v>
      </c>
      <c r="C8" s="9" t="s">
        <v>4</v>
      </c>
      <c r="D8" s="9" t="s">
        <v>19</v>
      </c>
      <c r="E8" s="9" t="s">
        <v>20</v>
      </c>
      <c r="F8" s="9" t="s">
        <v>19</v>
      </c>
    </row>
    <row r="9" spans="1:6">
      <c r="A9" s="10">
        <v>111011</v>
      </c>
      <c r="B9" s="2" t="s">
        <v>183</v>
      </c>
      <c r="C9" s="9" t="s">
        <v>4</v>
      </c>
      <c r="D9" s="9" t="s">
        <v>19</v>
      </c>
      <c r="E9" s="9" t="s">
        <v>20</v>
      </c>
      <c r="F9" s="9" t="s">
        <v>19</v>
      </c>
    </row>
    <row r="10" spans="1:6">
      <c r="A10" s="10">
        <v>111020</v>
      </c>
      <c r="B10" s="2" t="s">
        <v>38</v>
      </c>
      <c r="C10" s="9" t="s">
        <v>4</v>
      </c>
      <c r="D10" s="9" t="s">
        <v>19</v>
      </c>
      <c r="E10" s="9" t="s">
        <v>20</v>
      </c>
      <c r="F10" s="9" t="s">
        <v>19</v>
      </c>
    </row>
    <row r="11" spans="1:6">
      <c r="A11" s="10">
        <v>112000</v>
      </c>
      <c r="B11" s="2" t="s">
        <v>39</v>
      </c>
      <c r="C11" s="9" t="s">
        <v>4</v>
      </c>
      <c r="D11" s="9" t="s">
        <v>20</v>
      </c>
      <c r="E11" s="9" t="s">
        <v>20</v>
      </c>
      <c r="F11" s="9" t="s">
        <v>19</v>
      </c>
    </row>
    <row r="12" spans="1:6">
      <c r="A12" s="10">
        <v>112001</v>
      </c>
      <c r="B12" s="2" t="s">
        <v>40</v>
      </c>
      <c r="C12" s="9" t="s">
        <v>4</v>
      </c>
      <c r="D12" s="9" t="s">
        <v>19</v>
      </c>
      <c r="E12" s="9" t="s">
        <v>20</v>
      </c>
      <c r="F12" s="9" t="s">
        <v>19</v>
      </c>
    </row>
    <row r="13" spans="1:6">
      <c r="A13" s="10">
        <v>112002</v>
      </c>
      <c r="B13" s="2" t="s">
        <v>41</v>
      </c>
      <c r="C13" s="9" t="s">
        <v>4</v>
      </c>
      <c r="D13" s="9" t="s">
        <v>19</v>
      </c>
      <c r="E13" s="9" t="s">
        <v>20</v>
      </c>
      <c r="F13" s="9" t="s">
        <v>19</v>
      </c>
    </row>
    <row r="14" spans="1:6">
      <c r="A14" s="10">
        <v>112003</v>
      </c>
      <c r="B14" s="2" t="s">
        <v>42</v>
      </c>
      <c r="C14" s="9" t="s">
        <v>4</v>
      </c>
      <c r="D14" s="9" t="s">
        <v>19</v>
      </c>
      <c r="E14" s="9" t="s">
        <v>20</v>
      </c>
      <c r="F14" s="9" t="s">
        <v>19</v>
      </c>
    </row>
    <row r="15" spans="1:6">
      <c r="A15" s="10">
        <v>112004</v>
      </c>
      <c r="B15" s="2" t="s">
        <v>43</v>
      </c>
      <c r="C15" s="9" t="s">
        <v>4</v>
      </c>
      <c r="D15" s="9" t="s">
        <v>19</v>
      </c>
      <c r="E15" s="9" t="s">
        <v>20</v>
      </c>
      <c r="F15" s="9" t="s">
        <v>19</v>
      </c>
    </row>
    <row r="16" spans="1:6">
      <c r="A16" s="10">
        <v>112005</v>
      </c>
      <c r="B16" s="2" t="s">
        <v>44</v>
      </c>
      <c r="C16" s="9" t="s">
        <v>4</v>
      </c>
      <c r="D16" s="9" t="s">
        <v>19</v>
      </c>
      <c r="E16" s="9" t="s">
        <v>20</v>
      </c>
      <c r="F16" s="9" t="s">
        <v>19</v>
      </c>
    </row>
    <row r="17" spans="1:6">
      <c r="A17" s="10">
        <v>112006</v>
      </c>
      <c r="B17" s="2" t="s">
        <v>45</v>
      </c>
      <c r="C17" s="9" t="s">
        <v>4</v>
      </c>
      <c r="D17" s="9" t="s">
        <v>19</v>
      </c>
      <c r="E17" s="9" t="s">
        <v>20</v>
      </c>
      <c r="F17" s="9" t="s">
        <v>19</v>
      </c>
    </row>
    <row r="18" spans="1:6">
      <c r="A18" s="10">
        <v>112007</v>
      </c>
      <c r="B18" s="2" t="s">
        <v>46</v>
      </c>
      <c r="C18" s="9" t="s">
        <v>4</v>
      </c>
      <c r="D18" s="9" t="s">
        <v>19</v>
      </c>
      <c r="E18" s="9" t="s">
        <v>20</v>
      </c>
      <c r="F18" s="9" t="s">
        <v>19</v>
      </c>
    </row>
    <row r="19" spans="1:6">
      <c r="A19" s="10">
        <v>113000</v>
      </c>
      <c r="B19" s="2" t="s">
        <v>6</v>
      </c>
      <c r="C19" s="9" t="s">
        <v>4</v>
      </c>
      <c r="D19" s="9" t="s">
        <v>20</v>
      </c>
      <c r="E19" s="9" t="s">
        <v>20</v>
      </c>
      <c r="F19" s="9" t="s">
        <v>19</v>
      </c>
    </row>
    <row r="20" spans="1:6">
      <c r="A20" s="10">
        <v>113001</v>
      </c>
      <c r="B20" s="2" t="s">
        <v>47</v>
      </c>
      <c r="C20" s="9" t="s">
        <v>4</v>
      </c>
      <c r="D20" s="9" t="s">
        <v>19</v>
      </c>
      <c r="E20" s="9" t="s">
        <v>20</v>
      </c>
      <c r="F20" s="9" t="s">
        <v>19</v>
      </c>
    </row>
    <row r="21" spans="1:6">
      <c r="A21" s="10">
        <v>113002</v>
      </c>
      <c r="B21" s="2" t="s">
        <v>48</v>
      </c>
      <c r="C21" s="9" t="s">
        <v>4</v>
      </c>
      <c r="D21" s="9" t="s">
        <v>19</v>
      </c>
      <c r="E21" s="9" t="s">
        <v>20</v>
      </c>
      <c r="F21" s="9"/>
    </row>
    <row r="22" spans="1:6">
      <c r="A22" s="10">
        <v>113003</v>
      </c>
      <c r="B22" s="2" t="s">
        <v>49</v>
      </c>
      <c r="C22" s="9" t="s">
        <v>4</v>
      </c>
      <c r="D22" s="9" t="s">
        <v>19</v>
      </c>
      <c r="E22" s="9" t="s">
        <v>20</v>
      </c>
      <c r="F22" s="9"/>
    </row>
    <row r="23" spans="1:6">
      <c r="A23" s="10">
        <v>113004</v>
      </c>
      <c r="B23" s="2" t="s">
        <v>50</v>
      </c>
      <c r="C23" s="9" t="s">
        <v>4</v>
      </c>
      <c r="D23" s="9" t="s">
        <v>19</v>
      </c>
      <c r="E23" s="9" t="s">
        <v>20</v>
      </c>
      <c r="F23" s="9"/>
    </row>
    <row r="24" spans="1:6">
      <c r="A24" s="10">
        <v>113005</v>
      </c>
      <c r="B24" s="2" t="s">
        <v>51</v>
      </c>
      <c r="C24" s="9" t="s">
        <v>4</v>
      </c>
      <c r="D24" s="9" t="s">
        <v>19</v>
      </c>
      <c r="E24" s="9" t="s">
        <v>20</v>
      </c>
      <c r="F24" s="9"/>
    </row>
    <row r="25" spans="1:6">
      <c r="A25" s="10">
        <v>113006</v>
      </c>
      <c r="B25" s="2" t="s">
        <v>52</v>
      </c>
      <c r="C25" s="9" t="s">
        <v>4</v>
      </c>
      <c r="D25" s="9" t="s">
        <v>19</v>
      </c>
      <c r="E25" s="9" t="s">
        <v>20</v>
      </c>
      <c r="F25" s="9"/>
    </row>
    <row r="26" spans="1:6">
      <c r="A26" s="10">
        <v>114000</v>
      </c>
      <c r="B26" s="2" t="s">
        <v>53</v>
      </c>
      <c r="C26" s="9" t="s">
        <v>4</v>
      </c>
      <c r="D26" s="9"/>
      <c r="E26" s="9"/>
      <c r="F26" s="9"/>
    </row>
    <row r="27" spans="1:6">
      <c r="A27" s="10">
        <v>114001</v>
      </c>
      <c r="B27" s="2" t="s">
        <v>54</v>
      </c>
      <c r="C27" s="9" t="s">
        <v>4</v>
      </c>
      <c r="D27" s="9"/>
      <c r="E27" s="9"/>
      <c r="F27" s="9"/>
    </row>
    <row r="28" spans="1:6">
      <c r="A28" s="10">
        <v>114002</v>
      </c>
      <c r="B28" s="2" t="s">
        <v>55</v>
      </c>
      <c r="C28" s="9" t="s">
        <v>4</v>
      </c>
      <c r="D28" s="9"/>
      <c r="E28" s="9"/>
      <c r="F28" s="9"/>
    </row>
    <row r="29" spans="1:6">
      <c r="A29" s="10">
        <v>114003</v>
      </c>
      <c r="B29" s="2" t="s">
        <v>56</v>
      </c>
      <c r="C29" s="9" t="s">
        <v>4</v>
      </c>
      <c r="D29" s="9"/>
      <c r="E29" s="9"/>
      <c r="F29" s="9"/>
    </row>
    <row r="30" spans="1:6">
      <c r="A30" s="10">
        <v>114004</v>
      </c>
      <c r="B30" s="2" t="s">
        <v>57</v>
      </c>
      <c r="C30" s="9" t="s">
        <v>4</v>
      </c>
      <c r="D30" s="9"/>
      <c r="E30" s="9"/>
      <c r="F30" s="9"/>
    </row>
    <row r="31" spans="1:6">
      <c r="A31" s="10">
        <v>114005</v>
      </c>
      <c r="B31" s="2" t="s">
        <v>58</v>
      </c>
      <c r="C31" s="9" t="s">
        <v>4</v>
      </c>
      <c r="D31" s="9"/>
      <c r="E31" s="9"/>
      <c r="F31" s="9"/>
    </row>
    <row r="32" spans="1:6">
      <c r="A32" s="10">
        <v>114006</v>
      </c>
      <c r="B32" s="2" t="s">
        <v>59</v>
      </c>
      <c r="C32" s="9" t="s">
        <v>4</v>
      </c>
      <c r="D32" s="9"/>
      <c r="E32" s="9"/>
      <c r="F32" s="9"/>
    </row>
    <row r="33" spans="1:6">
      <c r="A33" s="10">
        <v>114007</v>
      </c>
      <c r="B33" s="2" t="s">
        <v>60</v>
      </c>
      <c r="C33" s="9" t="s">
        <v>4</v>
      </c>
      <c r="D33" s="9"/>
      <c r="E33" s="9"/>
      <c r="F33" s="9"/>
    </row>
    <row r="34" spans="1:6">
      <c r="A34" s="10">
        <v>114008</v>
      </c>
      <c r="B34" s="2" t="s">
        <v>61</v>
      </c>
      <c r="C34" s="9" t="s">
        <v>4</v>
      </c>
      <c r="D34" s="9"/>
      <c r="E34" s="9"/>
      <c r="F34" s="9"/>
    </row>
    <row r="35" spans="1:6">
      <c r="A35" s="10">
        <v>114009</v>
      </c>
      <c r="B35" s="2" t="s">
        <v>62</v>
      </c>
      <c r="C35" s="9" t="s">
        <v>4</v>
      </c>
      <c r="D35" s="9"/>
      <c r="E35" s="9"/>
      <c r="F35" s="9"/>
    </row>
    <row r="36" spans="1:6">
      <c r="A36" s="10">
        <v>114010</v>
      </c>
      <c r="B36" s="2" t="s">
        <v>63</v>
      </c>
      <c r="C36" s="9" t="s">
        <v>4</v>
      </c>
      <c r="D36" s="9"/>
      <c r="E36" s="9"/>
      <c r="F36" s="9"/>
    </row>
    <row r="37" spans="1:6">
      <c r="A37" s="10">
        <v>114011</v>
      </c>
      <c r="B37" s="2" t="s">
        <v>64</v>
      </c>
      <c r="C37" s="9" t="s">
        <v>4</v>
      </c>
      <c r="D37" s="9"/>
      <c r="E37" s="9"/>
      <c r="F37" s="9"/>
    </row>
    <row r="38" spans="1:6">
      <c r="A38" s="10">
        <v>115000</v>
      </c>
      <c r="B38" s="2" t="s">
        <v>65</v>
      </c>
      <c r="C38" s="9" t="s">
        <v>4</v>
      </c>
      <c r="D38" s="9"/>
      <c r="E38" s="9"/>
      <c r="F38" s="9"/>
    </row>
    <row r="39" spans="1:6">
      <c r="A39" s="10">
        <v>115001</v>
      </c>
      <c r="B39" s="2" t="s">
        <v>66</v>
      </c>
      <c r="C39" s="9" t="s">
        <v>4</v>
      </c>
      <c r="D39" s="9"/>
      <c r="E39" s="9"/>
      <c r="F39" s="9"/>
    </row>
    <row r="40" spans="1:6">
      <c r="A40" s="10">
        <v>115002</v>
      </c>
      <c r="B40" s="2" t="s">
        <v>67</v>
      </c>
      <c r="C40" s="9" t="s">
        <v>4</v>
      </c>
      <c r="D40" s="9"/>
      <c r="E40" s="9"/>
      <c r="F40" s="9"/>
    </row>
    <row r="41" spans="1:6">
      <c r="A41" s="10">
        <v>115003</v>
      </c>
      <c r="B41" s="2" t="s">
        <v>68</v>
      </c>
      <c r="C41" s="9" t="s">
        <v>4</v>
      </c>
      <c r="D41" s="9"/>
      <c r="E41" s="9"/>
      <c r="F41" s="9"/>
    </row>
    <row r="42" spans="1:6">
      <c r="A42" s="10">
        <v>120000</v>
      </c>
      <c r="B42" s="2" t="s">
        <v>69</v>
      </c>
      <c r="C42" s="9" t="s">
        <v>4</v>
      </c>
      <c r="D42" s="9"/>
      <c r="E42" s="9"/>
      <c r="F42" s="9"/>
    </row>
    <row r="43" spans="1:6">
      <c r="A43" s="10">
        <v>121000</v>
      </c>
      <c r="B43" s="2" t="s">
        <v>70</v>
      </c>
      <c r="C43" s="9" t="s">
        <v>4</v>
      </c>
      <c r="D43" s="9"/>
      <c r="E43" s="9"/>
      <c r="F43" s="9"/>
    </row>
    <row r="44" spans="1:6">
      <c r="A44" s="10">
        <v>121110</v>
      </c>
      <c r="B44" s="2" t="s">
        <v>71</v>
      </c>
      <c r="C44" s="9" t="s">
        <v>4</v>
      </c>
      <c r="D44" s="9"/>
      <c r="E44" s="9"/>
      <c r="F44" s="9"/>
    </row>
    <row r="45" spans="1:6">
      <c r="A45" s="10">
        <v>121120</v>
      </c>
      <c r="B45" s="2" t="s">
        <v>185</v>
      </c>
      <c r="C45" s="9" t="s">
        <v>4</v>
      </c>
      <c r="D45" s="9"/>
      <c r="E45" s="9"/>
      <c r="F45" s="9"/>
    </row>
    <row r="46" spans="1:6">
      <c r="A46" s="10">
        <v>121210</v>
      </c>
      <c r="B46" s="2" t="s">
        <v>72</v>
      </c>
      <c r="C46" s="9" t="s">
        <v>4</v>
      </c>
      <c r="D46" s="9"/>
      <c r="E46" s="9"/>
      <c r="F46" s="9"/>
    </row>
    <row r="47" spans="1:6">
      <c r="A47" s="10">
        <v>121220</v>
      </c>
      <c r="B47" s="2" t="s">
        <v>186</v>
      </c>
      <c r="C47" s="9" t="s">
        <v>4</v>
      </c>
      <c r="D47" s="9"/>
      <c r="E47" s="9"/>
      <c r="F47" s="9"/>
    </row>
    <row r="48" spans="1:6">
      <c r="A48" s="10">
        <v>121310</v>
      </c>
      <c r="B48" s="2" t="s">
        <v>73</v>
      </c>
      <c r="C48" s="9" t="s">
        <v>4</v>
      </c>
      <c r="D48" s="9"/>
      <c r="E48" s="9"/>
      <c r="F48" s="9"/>
    </row>
    <row r="49" spans="1:6">
      <c r="A49" s="10">
        <v>121320</v>
      </c>
      <c r="B49" s="2" t="s">
        <v>188</v>
      </c>
      <c r="C49" s="9" t="s">
        <v>4</v>
      </c>
      <c r="D49" s="9"/>
      <c r="E49" s="9"/>
      <c r="F49" s="9"/>
    </row>
    <row r="50" spans="1:6">
      <c r="A50" s="10">
        <v>121410</v>
      </c>
      <c r="B50" s="2" t="s">
        <v>74</v>
      </c>
      <c r="C50" s="9" t="s">
        <v>4</v>
      </c>
      <c r="D50" s="9"/>
      <c r="E50" s="9"/>
      <c r="F50" s="9"/>
    </row>
    <row r="51" spans="1:6">
      <c r="A51" s="10">
        <v>121420</v>
      </c>
      <c r="B51" s="2" t="s">
        <v>187</v>
      </c>
      <c r="C51" s="9" t="s">
        <v>4</v>
      </c>
      <c r="D51" s="9"/>
      <c r="E51" s="9"/>
      <c r="F51" s="9"/>
    </row>
    <row r="52" spans="1:6">
      <c r="A52" s="10">
        <v>121510</v>
      </c>
      <c r="B52" s="2" t="s">
        <v>75</v>
      </c>
      <c r="C52" s="9" t="s">
        <v>4</v>
      </c>
      <c r="D52" s="9"/>
      <c r="E52" s="9"/>
      <c r="F52" s="9"/>
    </row>
    <row r="53" spans="1:6">
      <c r="A53" s="10">
        <v>121520</v>
      </c>
      <c r="B53" s="2" t="s">
        <v>184</v>
      </c>
      <c r="C53" s="9" t="s">
        <v>4</v>
      </c>
      <c r="D53" s="9"/>
      <c r="E53" s="9"/>
      <c r="F53" s="9"/>
    </row>
    <row r="54" spans="1:6">
      <c r="A54" s="10">
        <v>200000</v>
      </c>
      <c r="B54" s="2" t="s">
        <v>7</v>
      </c>
      <c r="C54" s="9" t="s">
        <v>8</v>
      </c>
      <c r="D54" s="9"/>
      <c r="E54" s="9"/>
      <c r="F54" s="9"/>
    </row>
    <row r="55" spans="1:6">
      <c r="A55" s="10">
        <v>210000</v>
      </c>
      <c r="B55" s="2" t="s">
        <v>76</v>
      </c>
      <c r="C55" s="9" t="s">
        <v>8</v>
      </c>
      <c r="D55" s="9"/>
      <c r="E55" s="9"/>
      <c r="F55" s="9"/>
    </row>
    <row r="56" spans="1:6">
      <c r="A56" s="10">
        <v>211000</v>
      </c>
      <c r="B56" s="2" t="s">
        <v>77</v>
      </c>
      <c r="C56" s="9" t="s">
        <v>8</v>
      </c>
      <c r="D56" s="9"/>
      <c r="E56" s="9"/>
      <c r="F56" s="9"/>
    </row>
    <row r="57" spans="1:6">
      <c r="A57" s="10">
        <v>211001</v>
      </c>
      <c r="B57" s="2" t="s">
        <v>78</v>
      </c>
      <c r="C57" s="9" t="s">
        <v>8</v>
      </c>
      <c r="D57" s="9"/>
      <c r="E57" s="9"/>
      <c r="F57" s="9"/>
    </row>
    <row r="58" spans="1:6">
      <c r="A58" s="10">
        <v>211002</v>
      </c>
      <c r="B58" s="2" t="s">
        <v>79</v>
      </c>
      <c r="C58" s="9" t="s">
        <v>8</v>
      </c>
      <c r="D58" s="9"/>
      <c r="E58" s="9"/>
      <c r="F58" s="9"/>
    </row>
    <row r="59" spans="1:6">
      <c r="A59" s="10">
        <v>211003</v>
      </c>
      <c r="B59" s="2" t="s">
        <v>80</v>
      </c>
      <c r="C59" s="9" t="s">
        <v>8</v>
      </c>
      <c r="D59" s="9"/>
      <c r="E59" s="9"/>
      <c r="F59" s="9"/>
    </row>
    <row r="60" spans="1:6">
      <c r="A60" s="10">
        <v>211004</v>
      </c>
      <c r="B60" s="2" t="s">
        <v>81</v>
      </c>
      <c r="C60" s="9" t="s">
        <v>8</v>
      </c>
      <c r="D60" s="9"/>
      <c r="E60" s="9"/>
      <c r="F60" s="9"/>
    </row>
    <row r="61" spans="1:6">
      <c r="A61" s="10">
        <v>212000</v>
      </c>
      <c r="B61" s="2" t="s">
        <v>82</v>
      </c>
      <c r="C61" s="9" t="s">
        <v>8</v>
      </c>
      <c r="D61" s="9"/>
      <c r="E61" s="9"/>
      <c r="F61" s="9"/>
    </row>
    <row r="62" spans="1:6">
      <c r="A62" s="10">
        <v>212001</v>
      </c>
      <c r="B62" s="2" t="s">
        <v>83</v>
      </c>
      <c r="C62" s="9" t="s">
        <v>8</v>
      </c>
      <c r="D62" s="9"/>
      <c r="E62" s="9"/>
      <c r="F62" s="9"/>
    </row>
    <row r="63" spans="1:6">
      <c r="A63" s="10">
        <v>212002</v>
      </c>
      <c r="B63" s="2" t="s">
        <v>84</v>
      </c>
      <c r="C63" s="9" t="s">
        <v>8</v>
      </c>
      <c r="D63" s="9"/>
      <c r="E63" s="9"/>
      <c r="F63" s="9"/>
    </row>
    <row r="64" spans="1:6">
      <c r="A64" s="10">
        <v>213000</v>
      </c>
      <c r="B64" s="2" t="s">
        <v>85</v>
      </c>
      <c r="C64" s="9" t="s">
        <v>8</v>
      </c>
      <c r="D64" s="9"/>
      <c r="E64" s="9"/>
      <c r="F64" s="9"/>
    </row>
    <row r="65" spans="1:6">
      <c r="A65" s="10">
        <v>213001</v>
      </c>
      <c r="B65" s="2" t="s">
        <v>86</v>
      </c>
      <c r="C65" s="9" t="s">
        <v>8</v>
      </c>
      <c r="D65" s="9"/>
      <c r="E65" s="9"/>
      <c r="F65" s="9"/>
    </row>
    <row r="66" spans="1:6">
      <c r="A66" s="10">
        <v>213002</v>
      </c>
      <c r="B66" s="2" t="s">
        <v>87</v>
      </c>
      <c r="C66" s="9" t="s">
        <v>8</v>
      </c>
      <c r="D66" s="9"/>
      <c r="E66" s="9"/>
      <c r="F66" s="9"/>
    </row>
    <row r="67" spans="1:6">
      <c r="A67" s="10">
        <v>213003</v>
      </c>
      <c r="B67" s="2" t="s">
        <v>88</v>
      </c>
      <c r="C67" s="9" t="s">
        <v>8</v>
      </c>
      <c r="D67" s="9"/>
      <c r="E67" s="9"/>
      <c r="F67" s="9"/>
    </row>
    <row r="68" spans="1:6">
      <c r="A68" s="10">
        <v>213004</v>
      </c>
      <c r="B68" s="2" t="s">
        <v>89</v>
      </c>
      <c r="C68" s="9" t="s">
        <v>8</v>
      </c>
      <c r="D68" s="9"/>
      <c r="E68" s="9"/>
      <c r="F68" s="9"/>
    </row>
    <row r="69" spans="1:6">
      <c r="A69" s="10">
        <v>213005</v>
      </c>
      <c r="B69" s="2" t="s">
        <v>90</v>
      </c>
      <c r="C69" s="9" t="s">
        <v>8</v>
      </c>
      <c r="D69" s="9"/>
      <c r="E69" s="9"/>
      <c r="F69" s="9"/>
    </row>
    <row r="70" spans="1:6">
      <c r="A70" s="10">
        <v>213006</v>
      </c>
      <c r="B70" s="2" t="s">
        <v>91</v>
      </c>
      <c r="C70" s="9" t="s">
        <v>8</v>
      </c>
      <c r="D70" s="9"/>
      <c r="E70" s="9"/>
      <c r="F70" s="9"/>
    </row>
    <row r="71" spans="1:6">
      <c r="A71" s="10">
        <v>214000</v>
      </c>
      <c r="B71" s="2" t="s">
        <v>92</v>
      </c>
      <c r="C71" s="9" t="s">
        <v>8</v>
      </c>
      <c r="D71" s="9"/>
      <c r="E71" s="9"/>
      <c r="F71" s="9"/>
    </row>
    <row r="72" spans="1:6">
      <c r="A72" s="10">
        <v>214001</v>
      </c>
      <c r="B72" s="2" t="s">
        <v>93</v>
      </c>
      <c r="C72" s="9" t="s">
        <v>8</v>
      </c>
      <c r="D72" s="9"/>
      <c r="E72" s="9"/>
      <c r="F72" s="9"/>
    </row>
    <row r="73" spans="1:6">
      <c r="A73" s="10">
        <v>214002</v>
      </c>
      <c r="B73" s="2" t="s">
        <v>94</v>
      </c>
      <c r="C73" s="9" t="s">
        <v>8</v>
      </c>
      <c r="D73" s="9"/>
      <c r="E73" s="9"/>
      <c r="F73" s="9"/>
    </row>
    <row r="74" spans="1:6">
      <c r="A74" s="10">
        <v>214003</v>
      </c>
      <c r="B74" s="2" t="s">
        <v>95</v>
      </c>
      <c r="C74" s="9" t="s">
        <v>8</v>
      </c>
      <c r="D74" s="9"/>
      <c r="E74" s="9"/>
      <c r="F74" s="9"/>
    </row>
    <row r="75" spans="1:6">
      <c r="A75" s="10">
        <v>214004</v>
      </c>
      <c r="B75" s="2" t="s">
        <v>96</v>
      </c>
      <c r="C75" s="9" t="s">
        <v>8</v>
      </c>
      <c r="D75" s="9"/>
      <c r="E75" s="9"/>
      <c r="F75" s="9"/>
    </row>
    <row r="76" spans="1:6">
      <c r="A76" s="10">
        <v>214005</v>
      </c>
      <c r="B76" s="2" t="s">
        <v>97</v>
      </c>
      <c r="C76" s="9" t="s">
        <v>8</v>
      </c>
      <c r="D76" s="9"/>
      <c r="E76" s="9"/>
      <c r="F76" s="9"/>
    </row>
    <row r="77" spans="1:6">
      <c r="A77" s="10">
        <v>214006</v>
      </c>
      <c r="B77" s="2" t="s">
        <v>98</v>
      </c>
      <c r="C77" s="9" t="s">
        <v>8</v>
      </c>
      <c r="D77" s="9"/>
      <c r="E77" s="9"/>
      <c r="F77" s="9"/>
    </row>
    <row r="78" spans="1:6">
      <c r="A78" s="10">
        <v>214007</v>
      </c>
      <c r="B78" s="2" t="s">
        <v>99</v>
      </c>
      <c r="C78" s="9" t="s">
        <v>8</v>
      </c>
      <c r="D78" s="9"/>
      <c r="E78" s="9"/>
      <c r="F78" s="9"/>
    </row>
    <row r="79" spans="1:6">
      <c r="A79" s="10">
        <v>215000</v>
      </c>
      <c r="B79" s="2" t="s">
        <v>9</v>
      </c>
      <c r="C79" s="9" t="s">
        <v>8</v>
      </c>
      <c r="D79" s="9"/>
      <c r="E79" s="9"/>
      <c r="F79" s="9"/>
    </row>
    <row r="80" spans="1:6">
      <c r="A80" s="10">
        <v>215001</v>
      </c>
      <c r="B80" s="2" t="s">
        <v>100</v>
      </c>
      <c r="C80" s="9" t="s">
        <v>8</v>
      </c>
      <c r="D80" s="9"/>
      <c r="E80" s="9"/>
      <c r="F80" s="9"/>
    </row>
    <row r="81" spans="1:6">
      <c r="A81" s="10">
        <v>215002</v>
      </c>
      <c r="B81" s="2" t="s">
        <v>101</v>
      </c>
      <c r="C81" s="9" t="s">
        <v>8</v>
      </c>
      <c r="D81" s="9"/>
      <c r="E81" s="9"/>
      <c r="F81" s="9"/>
    </row>
    <row r="82" spans="1:6">
      <c r="A82" s="10">
        <v>215003</v>
      </c>
      <c r="B82" s="2" t="s">
        <v>102</v>
      </c>
      <c r="C82" s="9" t="s">
        <v>8</v>
      </c>
      <c r="D82" s="9"/>
      <c r="E82" s="9"/>
      <c r="F82" s="9"/>
    </row>
    <row r="83" spans="1:6">
      <c r="A83" s="10">
        <v>300000</v>
      </c>
      <c r="B83" s="2" t="s">
        <v>10</v>
      </c>
      <c r="C83" s="9" t="s">
        <v>11</v>
      </c>
      <c r="D83" s="9"/>
      <c r="E83" s="9"/>
      <c r="F83" s="9"/>
    </row>
    <row r="84" spans="1:6">
      <c r="A84" s="10">
        <v>310000</v>
      </c>
      <c r="B84" s="2" t="s">
        <v>103</v>
      </c>
      <c r="C84" s="9" t="s">
        <v>11</v>
      </c>
      <c r="D84" s="9"/>
      <c r="E84" s="9"/>
      <c r="F84" s="9"/>
    </row>
    <row r="85" spans="1:6">
      <c r="A85" s="10">
        <v>310001</v>
      </c>
      <c r="B85" s="2" t="s">
        <v>104</v>
      </c>
      <c r="C85" s="9" t="s">
        <v>11</v>
      </c>
      <c r="D85" s="9"/>
      <c r="E85" s="9"/>
      <c r="F85" s="9"/>
    </row>
    <row r="86" spans="1:6">
      <c r="A86" s="10">
        <v>310002</v>
      </c>
      <c r="B86" s="2" t="s">
        <v>105</v>
      </c>
      <c r="C86" s="9" t="s">
        <v>11</v>
      </c>
      <c r="D86" s="9"/>
      <c r="E86" s="9"/>
      <c r="F86" s="9"/>
    </row>
    <row r="87" spans="1:6">
      <c r="A87" s="10">
        <v>320000</v>
      </c>
      <c r="B87" s="2" t="s">
        <v>12</v>
      </c>
      <c r="C87" s="9" t="s">
        <v>11</v>
      </c>
      <c r="D87" s="9"/>
      <c r="E87" s="9"/>
      <c r="F87" s="9"/>
    </row>
    <row r="88" spans="1:6">
      <c r="A88" s="10">
        <v>320001</v>
      </c>
      <c r="B88" s="2" t="s">
        <v>106</v>
      </c>
      <c r="C88" s="9" t="s">
        <v>11</v>
      </c>
      <c r="D88" s="9"/>
      <c r="E88" s="9"/>
      <c r="F88" s="9"/>
    </row>
    <row r="89" spans="1:6">
      <c r="A89" s="10">
        <v>320002</v>
      </c>
      <c r="B89" s="2" t="s">
        <v>107</v>
      </c>
      <c r="C89" s="9" t="s">
        <v>11</v>
      </c>
      <c r="D89" s="9"/>
      <c r="E89" s="9"/>
      <c r="F89" s="9"/>
    </row>
    <row r="90" spans="1:6">
      <c r="A90" s="10">
        <v>320003</v>
      </c>
      <c r="B90" s="2" t="s">
        <v>108</v>
      </c>
      <c r="C90" s="9" t="s">
        <v>11</v>
      </c>
      <c r="D90" s="9"/>
      <c r="E90" s="9"/>
      <c r="F90" s="9"/>
    </row>
    <row r="91" spans="1:6">
      <c r="A91" s="10">
        <v>320004</v>
      </c>
      <c r="B91" s="2" t="s">
        <v>109</v>
      </c>
      <c r="C91" s="9" t="s">
        <v>11</v>
      </c>
      <c r="D91" s="9"/>
      <c r="E91" s="9"/>
      <c r="F91" s="9"/>
    </row>
    <row r="92" spans="1:6">
      <c r="A92" s="10">
        <v>400000</v>
      </c>
      <c r="B92" s="2" t="s">
        <v>110</v>
      </c>
      <c r="C92" s="9" t="s">
        <v>180</v>
      </c>
      <c r="D92" s="9"/>
      <c r="E92" s="9"/>
      <c r="F92" s="9"/>
    </row>
    <row r="93" spans="1:6">
      <c r="A93" s="10">
        <v>410000</v>
      </c>
      <c r="B93" s="2" t="s">
        <v>13</v>
      </c>
      <c r="C93" s="9" t="s">
        <v>180</v>
      </c>
      <c r="D93" s="9"/>
      <c r="E93" s="9"/>
      <c r="F93" s="9"/>
    </row>
    <row r="94" spans="1:6">
      <c r="A94" s="10">
        <v>410001</v>
      </c>
      <c r="B94" s="2" t="s">
        <v>111</v>
      </c>
      <c r="C94" s="9" t="s">
        <v>180</v>
      </c>
      <c r="D94" s="9"/>
      <c r="E94" s="9"/>
      <c r="F94" s="9"/>
    </row>
    <row r="95" spans="1:6">
      <c r="A95" s="10">
        <v>410002</v>
      </c>
      <c r="B95" s="2" t="s">
        <v>112</v>
      </c>
      <c r="C95" s="9" t="s">
        <v>180</v>
      </c>
      <c r="D95" s="9"/>
      <c r="E95" s="9"/>
      <c r="F95" s="9"/>
    </row>
    <row r="96" spans="1:6">
      <c r="A96" s="10">
        <v>410003</v>
      </c>
      <c r="B96" s="2" t="s">
        <v>113</v>
      </c>
      <c r="C96" s="9" t="s">
        <v>180</v>
      </c>
      <c r="D96" s="9"/>
      <c r="E96" s="9"/>
      <c r="F96" s="9"/>
    </row>
    <row r="97" spans="1:6">
      <c r="A97" s="10">
        <v>420000</v>
      </c>
      <c r="B97" s="2" t="s">
        <v>14</v>
      </c>
      <c r="C97" s="9" t="s">
        <v>189</v>
      </c>
      <c r="D97" s="9"/>
      <c r="E97" s="9"/>
      <c r="F97" s="9"/>
    </row>
    <row r="98" spans="1:6">
      <c r="A98" s="10">
        <v>420001</v>
      </c>
      <c r="B98" s="2" t="s">
        <v>114</v>
      </c>
      <c r="C98" s="9" t="s">
        <v>189</v>
      </c>
      <c r="D98" s="9"/>
      <c r="E98" s="9"/>
      <c r="F98" s="9"/>
    </row>
    <row r="99" spans="1:6">
      <c r="A99" s="10">
        <v>420002</v>
      </c>
      <c r="B99" s="2" t="s">
        <v>181</v>
      </c>
      <c r="C99" s="9" t="s">
        <v>189</v>
      </c>
      <c r="D99" s="9"/>
      <c r="E99" s="9"/>
      <c r="F99" s="9"/>
    </row>
    <row r="100" spans="1:6">
      <c r="A100" s="10">
        <v>420003</v>
      </c>
      <c r="B100" s="2" t="s">
        <v>115</v>
      </c>
      <c r="C100" s="9" t="s">
        <v>189</v>
      </c>
      <c r="D100" s="9"/>
      <c r="E100" s="9"/>
      <c r="F100" s="9"/>
    </row>
    <row r="101" spans="1:6">
      <c r="A101" s="10">
        <v>420004</v>
      </c>
      <c r="B101" s="2" t="s">
        <v>116</v>
      </c>
      <c r="C101" s="9" t="s">
        <v>189</v>
      </c>
      <c r="D101" s="9"/>
      <c r="E101" s="9"/>
      <c r="F101" s="9"/>
    </row>
    <row r="102" spans="1:6">
      <c r="A102" s="10">
        <v>420005</v>
      </c>
      <c r="B102" s="2" t="s">
        <v>117</v>
      </c>
      <c r="C102" s="9" t="s">
        <v>189</v>
      </c>
      <c r="D102" s="9"/>
      <c r="E102" s="9"/>
      <c r="F102" s="9"/>
    </row>
    <row r="103" spans="1:6">
      <c r="A103" s="10">
        <v>420006</v>
      </c>
      <c r="B103" s="2" t="s">
        <v>118</v>
      </c>
      <c r="C103" s="9" t="s">
        <v>189</v>
      </c>
      <c r="D103" s="9"/>
      <c r="E103" s="9"/>
      <c r="F103" s="9"/>
    </row>
    <row r="104" spans="1:6">
      <c r="A104" s="10">
        <v>420007</v>
      </c>
      <c r="B104" s="2" t="s">
        <v>119</v>
      </c>
      <c r="C104" s="9" t="s">
        <v>189</v>
      </c>
      <c r="D104" s="9"/>
      <c r="E104" s="9"/>
      <c r="F104" s="9"/>
    </row>
    <row r="105" spans="1:6">
      <c r="A105" s="10">
        <v>420008</v>
      </c>
      <c r="B105" s="2" t="s">
        <v>120</v>
      </c>
      <c r="C105" s="9" t="s">
        <v>189</v>
      </c>
      <c r="D105" s="9"/>
      <c r="E105" s="9"/>
      <c r="F105" s="9"/>
    </row>
    <row r="106" spans="1:6">
      <c r="A106" s="10">
        <v>420009</v>
      </c>
      <c r="B106" s="2" t="s">
        <v>121</v>
      </c>
      <c r="C106" s="9" t="s">
        <v>189</v>
      </c>
      <c r="D106" s="9"/>
      <c r="E106" s="9"/>
      <c r="F106" s="9"/>
    </row>
  </sheetData>
  <dataValidations count="2">
    <dataValidation type="list" allowBlank="1" showInputMessage="1" showErrorMessage="1" sqref="C2:C106">
      <formula1>Clasificacion</formula1>
    </dataValidation>
    <dataValidation type="list" allowBlank="1" showInputMessage="1" showErrorMessage="1" sqref="D2:F106">
      <formula1>Binario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>
    <tabColor theme="1"/>
  </sheetPr>
  <dimension ref="A1"/>
  <sheetViews>
    <sheetView workbookViewId="0">
      <selection activeCell="G16" sqref="G16"/>
    </sheetView>
  </sheetViews>
  <sheetFormatPr baseColWidth="10" defaultRowHeight="15.6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1">
    <tabColor theme="9" tint="-0.499984740745262"/>
  </sheetPr>
  <dimension ref="A1:E125"/>
  <sheetViews>
    <sheetView workbookViewId="0">
      <selection activeCell="E1" sqref="E1"/>
    </sheetView>
  </sheetViews>
  <sheetFormatPr baseColWidth="10" defaultRowHeight="15.6"/>
  <sheetData>
    <row r="1" spans="1:5">
      <c r="A1" t="s">
        <v>33</v>
      </c>
      <c r="B1" t="s">
        <v>207</v>
      </c>
      <c r="C1" t="s">
        <v>208</v>
      </c>
      <c r="D1" t="s">
        <v>209</v>
      </c>
      <c r="E1" t="s">
        <v>210</v>
      </c>
    </row>
    <row r="55" spans="1:1">
      <c r="A55" t="s">
        <v>122</v>
      </c>
    </row>
    <row r="56" spans="1:1">
      <c r="A56" t="s">
        <v>123</v>
      </c>
    </row>
    <row r="57" spans="1:1">
      <c r="A57" t="s">
        <v>124</v>
      </c>
    </row>
    <row r="58" spans="1:1">
      <c r="A58" t="s">
        <v>125</v>
      </c>
    </row>
    <row r="59" spans="1:1">
      <c r="A59" t="s">
        <v>126</v>
      </c>
    </row>
    <row r="60" spans="1:1">
      <c r="A60" t="s">
        <v>127</v>
      </c>
    </row>
    <row r="61" spans="1:1">
      <c r="A61" t="s">
        <v>128</v>
      </c>
    </row>
    <row r="62" spans="1:1">
      <c r="A62" t="s">
        <v>129</v>
      </c>
    </row>
    <row r="63" spans="1:1">
      <c r="A63" t="s">
        <v>130</v>
      </c>
    </row>
    <row r="64" spans="1:1">
      <c r="A64" t="s">
        <v>131</v>
      </c>
    </row>
    <row r="65" spans="1:1">
      <c r="A65" t="s">
        <v>132</v>
      </c>
    </row>
    <row r="66" spans="1:1">
      <c r="A66" t="s">
        <v>133</v>
      </c>
    </row>
    <row r="67" spans="1:1">
      <c r="A67" t="s">
        <v>134</v>
      </c>
    </row>
    <row r="68" spans="1:1">
      <c r="A68" t="s">
        <v>135</v>
      </c>
    </row>
    <row r="69" spans="1:1">
      <c r="A69" t="s">
        <v>136</v>
      </c>
    </row>
    <row r="70" spans="1:1">
      <c r="A70" t="s">
        <v>137</v>
      </c>
    </row>
    <row r="71" spans="1:1">
      <c r="A71" t="s">
        <v>138</v>
      </c>
    </row>
    <row r="72" spans="1:1">
      <c r="A72" t="s">
        <v>139</v>
      </c>
    </row>
    <row r="73" spans="1:1">
      <c r="A73" t="s">
        <v>140</v>
      </c>
    </row>
    <row r="74" spans="1:1">
      <c r="A74" t="s">
        <v>141</v>
      </c>
    </row>
    <row r="75" spans="1:1">
      <c r="A75" t="s">
        <v>142</v>
      </c>
    </row>
    <row r="76" spans="1:1">
      <c r="A76" t="s">
        <v>143</v>
      </c>
    </row>
    <row r="77" spans="1:1">
      <c r="A77" t="s">
        <v>144</v>
      </c>
    </row>
    <row r="78" spans="1:1">
      <c r="A78" t="s">
        <v>145</v>
      </c>
    </row>
    <row r="79" spans="1:1">
      <c r="A79" t="s">
        <v>146</v>
      </c>
    </row>
    <row r="80" spans="1:1">
      <c r="A80" t="s">
        <v>147</v>
      </c>
    </row>
    <row r="81" spans="1:1">
      <c r="A81" t="s">
        <v>148</v>
      </c>
    </row>
    <row r="82" spans="1:1">
      <c r="A82" t="s">
        <v>149</v>
      </c>
    </row>
    <row r="83" spans="1:1">
      <c r="A83" t="s">
        <v>150</v>
      </c>
    </row>
    <row r="84" spans="1:1">
      <c r="A84" t="s">
        <v>151</v>
      </c>
    </row>
    <row r="85" spans="1:1">
      <c r="A85" t="s">
        <v>172</v>
      </c>
    </row>
    <row r="86" spans="1:1">
      <c r="A86" t="s">
        <v>152</v>
      </c>
    </row>
    <row r="87" spans="1:1">
      <c r="A87" t="s">
        <v>153</v>
      </c>
    </row>
    <row r="88" spans="1:1">
      <c r="A88" t="s">
        <v>173</v>
      </c>
    </row>
    <row r="89" spans="1:1">
      <c r="A89" t="s">
        <v>154</v>
      </c>
    </row>
    <row r="90" spans="1:1">
      <c r="A90" t="s">
        <v>153</v>
      </c>
    </row>
    <row r="91" spans="1:1">
      <c r="A91" t="s">
        <v>155</v>
      </c>
    </row>
    <row r="92" spans="1:1">
      <c r="A92" t="s">
        <v>156</v>
      </c>
    </row>
    <row r="93" spans="1:1">
      <c r="A93" t="s">
        <v>157</v>
      </c>
    </row>
    <row r="94" spans="1:1">
      <c r="A94" t="s">
        <v>158</v>
      </c>
    </row>
    <row r="95" spans="1:1">
      <c r="A95" t="s">
        <v>159</v>
      </c>
    </row>
    <row r="96" spans="1:1">
      <c r="A96" t="s">
        <v>160</v>
      </c>
    </row>
    <row r="97" spans="1:1">
      <c r="A97" t="s">
        <v>161</v>
      </c>
    </row>
    <row r="98" spans="1:1">
      <c r="A98" t="s">
        <v>162</v>
      </c>
    </row>
    <row r="99" spans="1:1">
      <c r="A99" t="s">
        <v>161</v>
      </c>
    </row>
    <row r="100" spans="1:1">
      <c r="A100" t="s">
        <v>163</v>
      </c>
    </row>
    <row r="101" spans="1:1">
      <c r="A101" t="s">
        <v>161</v>
      </c>
    </row>
    <row r="102" spans="1:1">
      <c r="A102" t="s">
        <v>164</v>
      </c>
    </row>
    <row r="103" spans="1:1">
      <c r="A103" t="s">
        <v>161</v>
      </c>
    </row>
    <row r="104" spans="1:1">
      <c r="A104" t="s">
        <v>165</v>
      </c>
    </row>
    <row r="105" spans="1:1">
      <c r="A105" t="s">
        <v>161</v>
      </c>
    </row>
    <row r="106" spans="1:1">
      <c r="A106" t="s">
        <v>166</v>
      </c>
    </row>
    <row r="107" spans="1:1">
      <c r="A107" t="s">
        <v>161</v>
      </c>
    </row>
    <row r="108" spans="1:1">
      <c r="A108" t="s">
        <v>167</v>
      </c>
    </row>
    <row r="109" spans="1:1">
      <c r="A109" t="s">
        <v>161</v>
      </c>
    </row>
    <row r="110" spans="1:1">
      <c r="A110" t="s">
        <v>168</v>
      </c>
    </row>
    <row r="111" spans="1:1">
      <c r="A111" t="s">
        <v>161</v>
      </c>
    </row>
    <row r="112" spans="1:1">
      <c r="A112" t="s">
        <v>169</v>
      </c>
    </row>
    <row r="113" spans="1:1">
      <c r="A113" t="s">
        <v>161</v>
      </c>
    </row>
    <row r="114" spans="1:1">
      <c r="A114" t="s">
        <v>170</v>
      </c>
    </row>
    <row r="115" spans="1:1">
      <c r="A115" t="s">
        <v>161</v>
      </c>
    </row>
    <row r="116" spans="1:1">
      <c r="A116" t="s">
        <v>171</v>
      </c>
    </row>
    <row r="117" spans="1:1">
      <c r="A117" t="s">
        <v>161</v>
      </c>
    </row>
    <row r="118" spans="1:1">
      <c r="A118" t="s">
        <v>174</v>
      </c>
    </row>
    <row r="119" spans="1:1">
      <c r="A119" t="s">
        <v>161</v>
      </c>
    </row>
    <row r="120" spans="1:1">
      <c r="A120" t="s">
        <v>175</v>
      </c>
    </row>
    <row r="121" spans="1:1">
      <c r="A121" t="s">
        <v>161</v>
      </c>
    </row>
    <row r="122" spans="1:1">
      <c r="A122" t="s">
        <v>176</v>
      </c>
    </row>
    <row r="123" spans="1:1">
      <c r="A123" t="s">
        <v>161</v>
      </c>
    </row>
    <row r="124" spans="1:1">
      <c r="A124" t="s">
        <v>177</v>
      </c>
    </row>
    <row r="125" spans="1:1">
      <c r="A125" t="s">
        <v>161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0">
    <tabColor theme="0" tint="-0.14999847407452621"/>
  </sheetPr>
  <dimension ref="A1:E20"/>
  <sheetViews>
    <sheetView workbookViewId="0">
      <selection activeCell="A13" sqref="A13"/>
    </sheetView>
  </sheetViews>
  <sheetFormatPr baseColWidth="10" defaultRowHeight="15.6"/>
  <cols>
    <col min="1" max="1" width="14" customWidth="1"/>
    <col min="2" max="2" width="8.09765625" customWidth="1"/>
    <col min="3" max="3" width="14.3984375" customWidth="1"/>
    <col min="4" max="4" width="4.8984375" customWidth="1"/>
  </cols>
  <sheetData>
    <row r="1" spans="1:5">
      <c r="A1" t="s">
        <v>198</v>
      </c>
      <c r="B1" t="s">
        <v>191</v>
      </c>
      <c r="C1" t="s">
        <v>192</v>
      </c>
      <c r="D1" t="s">
        <v>18</v>
      </c>
      <c r="E1" t="s">
        <v>205</v>
      </c>
    </row>
    <row r="2" spans="1:5">
      <c r="A2" t="s">
        <v>4</v>
      </c>
      <c r="B2" t="s">
        <v>19</v>
      </c>
      <c r="C2" t="s">
        <v>193</v>
      </c>
      <c r="D2" t="s">
        <v>199</v>
      </c>
      <c r="E2">
        <v>1</v>
      </c>
    </row>
    <row r="3" spans="1:5">
      <c r="A3" t="s">
        <v>8</v>
      </c>
      <c r="B3" t="s">
        <v>20</v>
      </c>
      <c r="C3" t="s">
        <v>194</v>
      </c>
      <c r="D3" t="s">
        <v>201</v>
      </c>
      <c r="E3">
        <v>2</v>
      </c>
    </row>
    <row r="4" spans="1:5">
      <c r="A4" t="s">
        <v>11</v>
      </c>
      <c r="C4" t="s">
        <v>195</v>
      </c>
      <c r="D4" t="s">
        <v>202</v>
      </c>
      <c r="E4">
        <v>3</v>
      </c>
    </row>
    <row r="5" spans="1:5">
      <c r="A5" t="s">
        <v>180</v>
      </c>
      <c r="C5" t="s">
        <v>196</v>
      </c>
      <c r="D5" t="s">
        <v>203</v>
      </c>
      <c r="E5">
        <v>4</v>
      </c>
    </row>
    <row r="6" spans="1:5">
      <c r="A6" t="s">
        <v>189</v>
      </c>
      <c r="C6" t="s">
        <v>197</v>
      </c>
      <c r="D6" t="s">
        <v>204</v>
      </c>
      <c r="E6">
        <v>5</v>
      </c>
    </row>
    <row r="7" spans="1:5">
      <c r="D7" t="s">
        <v>200</v>
      </c>
      <c r="E7">
        <v>6</v>
      </c>
    </row>
    <row r="20" spans="2:2">
      <c r="B20" s="1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Asientos</vt:lpstr>
      <vt:lpstr>Diario</vt:lpstr>
      <vt:lpstr>Mayor</vt:lpstr>
      <vt:lpstr>BG</vt:lpstr>
      <vt:lpstr>ER</vt:lpstr>
      <vt:lpstr>EEPN</vt:lpstr>
      <vt:lpstr>EFC</vt:lpstr>
      <vt:lpstr>PDC</vt:lpstr>
      <vt:lpstr>Empresa</vt:lpstr>
      <vt:lpstr>BienesUso</vt:lpstr>
      <vt:lpstr>Datos</vt:lpstr>
      <vt:lpstr>Binario</vt:lpstr>
      <vt:lpstr>Clasificacion</vt:lpstr>
      <vt:lpstr>Codigo</vt:lpstr>
      <vt:lpstr>Comprobantes</vt:lpstr>
      <vt:lpstr>Cuenta</vt:lpstr>
      <vt:lpstr>DocumentoFiscal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Lenovo;Cr. Edgardo Raúl Galletto</dc:creator>
  <cp:keywords>Contabilidad, Estados Contables</cp:keywords>
  <cp:lastModifiedBy>Lenovo</cp:lastModifiedBy>
  <dcterms:created xsi:type="dcterms:W3CDTF">2025-09-22T22:08:33Z</dcterms:created>
  <dcterms:modified xsi:type="dcterms:W3CDTF">2025-12-01T17:37:00Z</dcterms:modified>
</cp:coreProperties>
</file>